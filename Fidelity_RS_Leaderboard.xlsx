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IBD_RS_Leaderboard" sheetId="1" state="visible" r:id="rId1"/>
    <sheet xmlns:r="http://schemas.openxmlformats.org/officeDocument/2006/relationships" name="Top_and_Last_10" sheetId="2" state="visible" r:id="rId2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$#,##0.00"/>
  </numFmts>
  <fonts count="4">
    <font>
      <name val="Calibri"/>
      <family val="2"/>
      <color theme="1"/>
      <sz val="11"/>
      <scheme val="minor"/>
    </font>
    <font>
      <b val="1"/>
    </font>
    <font>
      <name val="Calibri"/>
      <b val="1"/>
      <color rgb="00FFFFFF"/>
      <sz val="11"/>
    </font>
    <font>
      <b val="1"/>
      <color rgb="001F4E79"/>
      <sz val="12"/>
    </font>
  </fonts>
  <fills count="5">
    <fill>
      <patternFill/>
    </fill>
    <fill>
      <patternFill patternType="gray125"/>
    </fill>
    <fill>
      <patternFill patternType="solid">
        <fgColor rgb="001F4E79"/>
      </patternFill>
    </fill>
    <fill>
      <patternFill patternType="solid">
        <fgColor rgb="00C6EFCE"/>
      </patternFill>
    </fill>
    <fill>
      <patternFill patternType="solid">
        <fgColor rgb="00FFC7CE"/>
      </patternFill>
    </fill>
  </fills>
  <borders count="3">
    <border>
      <left/>
      <right/>
      <top/>
      <bottom/>
      <diagonal/>
    </border>
    <border>
      <left style="thin"/>
      <right style="thin"/>
      <top style="thin"/>
      <bottom style="thin"/>
    </border>
    <border>
      <left style="thin">
        <color rgb="00E0E0E0"/>
      </left>
      <right style="thin">
        <color rgb="00E0E0E0"/>
      </right>
      <top style="thin">
        <color rgb="00E0E0E0"/>
      </top>
      <bottom style="thin">
        <color rgb="00E0E0E0"/>
      </bottom>
    </border>
  </borders>
  <cellStyleXfs count="1">
    <xf numFmtId="0" fontId="0" fillId="0" borderId="0"/>
  </cellStyleXfs>
  <cellXfs count="12">
    <xf numFmtId="0" fontId="0" fillId="0" borderId="0" pivotButton="0" quotePrefix="0" xfId="0"/>
    <xf numFmtId="0" fontId="1" fillId="0" borderId="1" applyAlignment="1" pivotButton="0" quotePrefix="0" xfId="0">
      <alignment horizontal="center" vertical="top"/>
    </xf>
    <xf numFmtId="0" fontId="2" fillId="2" borderId="1" applyAlignment="1" pivotButton="0" quotePrefix="0" xfId="0">
      <alignment horizontal="center" vertical="center"/>
    </xf>
    <xf numFmtId="0" fontId="0" fillId="0" borderId="2" pivotButton="0" quotePrefix="0" xfId="0"/>
    <xf numFmtId="1" fontId="1" fillId="3" borderId="2" pivotButton="0" quotePrefix="0" xfId="0"/>
    <xf numFmtId="164" fontId="0" fillId="0" borderId="2" pivotButton="0" quotePrefix="0" xfId="0"/>
    <xf numFmtId="10" fontId="0" fillId="0" borderId="2" pivotButton="0" quotePrefix="0" xfId="0"/>
    <xf numFmtId="1" fontId="1" fillId="0" borderId="2" pivotButton="0" quotePrefix="0" xfId="0"/>
    <xf numFmtId="1" fontId="1" fillId="4" borderId="2" pivotButton="0" quotePrefix="0" xfId="0"/>
    <xf numFmtId="0" fontId="3" fillId="0" borderId="0" pivotButton="0" quotePrefix="0" xfId="0"/>
    <xf numFmtId="0" fontId="2" fillId="2" borderId="0" pivotButton="0" quotePrefix="0" xfId="0"/>
    <xf numFmtId="1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P34"/>
  <sheetViews>
    <sheetView workbookViewId="0">
      <pane xSplit="5" ySplit="1" topLeftCell="F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2" customWidth="1" min="1" max="1"/>
    <col width="16" customWidth="1" min="2" max="2"/>
    <col width="12" customWidth="1" min="3" max="3"/>
    <col width="27" customWidth="1" min="4" max="4"/>
    <col width="25" customWidth="1" min="5" max="5"/>
    <col width="13" customWidth="1" min="6" max="6"/>
    <col width="25" customWidth="1" min="7" max="7"/>
    <col width="24" customWidth="1" min="8" max="8"/>
    <col width="24" customWidth="1" min="9" max="9"/>
    <col width="24" customWidth="1" min="10" max="10"/>
    <col width="23" customWidth="1" min="11" max="11"/>
    <col width="24" customWidth="1" min="12" max="12"/>
    <col width="23" customWidth="1" min="13" max="13"/>
    <col width="23" customWidth="1" min="14" max="14"/>
    <col width="22" customWidth="1" min="15" max="15"/>
    <col width="22" customWidth="1" min="16" max="16"/>
  </cols>
  <sheetData>
    <row r="1">
      <c r="A1" s="2" t="inlineStr">
        <is>
          <t>IBD_Rank</t>
        </is>
      </c>
      <c r="B1" s="2" t="inlineStr">
        <is>
          <t>IBD_RS_Rating</t>
        </is>
      </c>
      <c r="C1" s="2" t="inlineStr">
        <is>
          <t>Ticker</t>
        </is>
      </c>
      <c r="D1" s="2" t="inlineStr">
        <is>
          <t>Fund Name</t>
        </is>
      </c>
      <c r="E1" s="2" t="inlineStr">
        <is>
          <t>Sector</t>
        </is>
      </c>
      <c r="F1" s="2" t="inlineStr">
        <is>
          <t>Latest NAV</t>
        </is>
      </c>
      <c r="G1" s="2" t="inlineStr">
        <is>
          <t>1D</t>
        </is>
      </c>
      <c r="H1" s="2" t="inlineStr">
        <is>
          <t>1W</t>
        </is>
      </c>
      <c r="I1" s="2" t="inlineStr">
        <is>
          <t>2W</t>
        </is>
      </c>
      <c r="J1" s="2" t="inlineStr">
        <is>
          <t>1M</t>
        </is>
      </c>
      <c r="K1" s="2" t="inlineStr">
        <is>
          <t>3M</t>
        </is>
      </c>
      <c r="L1" s="2" t="inlineStr">
        <is>
          <t>6M</t>
        </is>
      </c>
      <c r="M1" s="2" t="inlineStr">
        <is>
          <t>9M</t>
        </is>
      </c>
      <c r="N1" s="2" t="inlineStr">
        <is>
          <t>1Y</t>
        </is>
      </c>
      <c r="O1" s="2" t="inlineStr">
        <is>
          <t>3Y</t>
        </is>
      </c>
      <c r="P1" s="2" t="inlineStr">
        <is>
          <t>3Y (Ann.)</t>
        </is>
      </c>
    </row>
    <row r="2">
      <c r="A2" s="3" t="n">
        <v>1</v>
      </c>
      <c r="B2" s="4" t="n">
        <v>99</v>
      </c>
      <c r="C2" s="3" t="inlineStr">
        <is>
          <t>FSENX</t>
        </is>
      </c>
      <c r="D2" s="3" t="inlineStr">
        <is>
          <t>Energy</t>
        </is>
      </c>
      <c r="E2" s="3" t="inlineStr">
        <is>
          <t>Energy</t>
        </is>
      </c>
      <c r="F2" s="5" t="n">
        <v>96.87</v>
      </c>
      <c r="G2" s="6" t="n">
        <v>0.02388756074041498</v>
      </c>
      <c r="H2" s="6" t="n">
        <v>0.03815245183939475</v>
      </c>
      <c r="I2" s="6" t="n">
        <v>0.06908732031854004</v>
      </c>
      <c r="J2" s="6" t="n">
        <v>0.04792297910186405</v>
      </c>
      <c r="K2" s="6" t="n">
        <v>0.1766063475300796</v>
      </c>
      <c r="L2" s="6" t="n">
        <v>0.1953356571103104</v>
      </c>
      <c r="M2" s="6" t="n">
        <v>0.4694119803713392</v>
      </c>
      <c r="N2" s="6" t="n">
        <v>0.6676250156131198</v>
      </c>
      <c r="O2" s="6" t="n">
        <v>0.6812520582086226</v>
      </c>
      <c r="P2" s="6" t="n">
        <v>0.189079640085577</v>
      </c>
    </row>
    <row r="3">
      <c r="A3" s="3" t="n">
        <v>2</v>
      </c>
      <c r="B3" s="4" t="n">
        <v>96</v>
      </c>
      <c r="C3" s="3" t="inlineStr">
        <is>
          <t>FDCPX</t>
        </is>
      </c>
      <c r="D3" s="3" t="inlineStr">
        <is>
          <t>Tech Hardware</t>
        </is>
      </c>
      <c r="E3" s="3" t="inlineStr">
        <is>
          <t>Information Technology</t>
        </is>
      </c>
      <c r="F3" s="5" t="n">
        <v>197.4</v>
      </c>
      <c r="G3" s="6" t="n">
        <v>-0.0320207866121911</v>
      </c>
      <c r="H3" s="6" t="n">
        <v>-0.1188287200619833</v>
      </c>
      <c r="I3" s="6" t="n">
        <v>-0.1281689095801838</v>
      </c>
      <c r="J3" s="6" t="n">
        <v>-0.07705260244106371</v>
      </c>
      <c r="K3" s="6" t="n">
        <v>-0.03054710426214968</v>
      </c>
      <c r="L3" s="6" t="n">
        <v>0.1635720660086335</v>
      </c>
      <c r="M3" s="6" t="n">
        <v>0.4744144736174778</v>
      </c>
      <c r="N3" s="6" t="n">
        <v>0.5878721911258744</v>
      </c>
      <c r="O3" s="6" t="n">
        <v>1.913167525520154</v>
      </c>
      <c r="P3" s="6" t="n">
        <v>0.4281982173904582</v>
      </c>
    </row>
    <row r="4">
      <c r="A4" s="3" t="n">
        <v>3</v>
      </c>
      <c r="B4" s="4" t="n">
        <v>93</v>
      </c>
      <c r="C4" s="3" t="inlineStr">
        <is>
          <t>FSPTX</t>
        </is>
      </c>
      <c r="D4" s="3" t="inlineStr">
        <is>
          <t>Technology</t>
        </is>
      </c>
      <c r="E4" s="3" t="inlineStr">
        <is>
          <t>Information Technology</t>
        </is>
      </c>
      <c r="F4" s="5" t="n">
        <v>54.87</v>
      </c>
      <c r="G4" s="6" t="n">
        <v>-0.02539965052494098</v>
      </c>
      <c r="H4" s="6" t="n">
        <v>-0.06445017042883183</v>
      </c>
      <c r="I4" s="6" t="n">
        <v>-0.06778799927102086</v>
      </c>
      <c r="J4" s="6" t="n">
        <v>0.007713464886325072</v>
      </c>
      <c r="K4" s="6" t="n">
        <v>0.03139094257511132</v>
      </c>
      <c r="L4" s="6" t="n">
        <v>0.2533120251668952</v>
      </c>
      <c r="M4" s="6" t="n">
        <v>0.3434042130720167</v>
      </c>
      <c r="N4" s="6" t="n">
        <v>0.3894564744373987</v>
      </c>
      <c r="O4" s="6" t="n">
        <v>1.513944207788594</v>
      </c>
      <c r="P4" s="6" t="n">
        <v>0.3597274914980582</v>
      </c>
    </row>
    <row r="5">
      <c r="A5" s="3" t="n">
        <v>4</v>
      </c>
      <c r="B5" s="4" t="n">
        <v>90</v>
      </c>
      <c r="C5" s="3" t="inlineStr">
        <is>
          <t>FSCSX</t>
        </is>
      </c>
      <c r="D5" s="3" t="inlineStr">
        <is>
          <t>Software &amp; IT Services</t>
        </is>
      </c>
      <c r="E5" s="3" t="inlineStr">
        <is>
          <t>Information Technology</t>
        </is>
      </c>
      <c r="F5" s="5" t="n">
        <v>24.12</v>
      </c>
      <c r="G5" s="6" t="n">
        <v>-0.04701693606553681</v>
      </c>
      <c r="H5" s="6" t="n">
        <v>-0.07586205031790239</v>
      </c>
      <c r="I5" s="6" t="n">
        <v>-0.03712568567472252</v>
      </c>
      <c r="J5" s="6" t="n">
        <v>0.0164349475145551</v>
      </c>
      <c r="K5" s="6" t="n">
        <v>0.1646548481654639</v>
      </c>
      <c r="L5" s="6" t="n">
        <v>0.3252747158312654</v>
      </c>
      <c r="M5" s="6" t="n">
        <v>0.132265679757291</v>
      </c>
      <c r="N5" s="6" t="n">
        <v>0.04543548241356876</v>
      </c>
      <c r="O5" s="6" t="n">
        <v>0.3950623208435708</v>
      </c>
      <c r="P5" s="6" t="n">
        <v>0.117372219765008</v>
      </c>
    </row>
    <row r="6">
      <c r="A6" s="3" t="n">
        <v>5</v>
      </c>
      <c r="B6" s="4" t="n">
        <v>87</v>
      </c>
      <c r="C6" s="3" t="inlineStr">
        <is>
          <t>FSELX</t>
        </is>
      </c>
      <c r="D6" s="3" t="inlineStr">
        <is>
          <t>Semiconductors</t>
        </is>
      </c>
      <c r="E6" s="3" t="inlineStr">
        <is>
          <t>Information Technology</t>
        </is>
      </c>
      <c r="F6" s="5" t="n">
        <v>57.27</v>
      </c>
      <c r="G6" s="6" t="n">
        <v>-0.0368314608212108</v>
      </c>
      <c r="H6" s="6" t="n">
        <v>-0.1108523955657834</v>
      </c>
      <c r="I6" s="6" t="n">
        <v>-0.1398317980962954</v>
      </c>
      <c r="J6" s="6" t="n">
        <v>-0.009854766482027988</v>
      </c>
      <c r="K6" s="6" t="n">
        <v>-0.06421569046050812</v>
      </c>
      <c r="L6" s="6" t="n">
        <v>0.09881046875325916</v>
      </c>
      <c r="M6" s="6" t="n">
        <v>0.3218595682579095</v>
      </c>
      <c r="N6" s="6" t="n">
        <v>0.5019341683466274</v>
      </c>
      <c r="O6" s="6" t="n">
        <v>2.338813591493924</v>
      </c>
      <c r="P6" s="6" t="n">
        <v>0.4946197757892974</v>
      </c>
    </row>
    <row r="7">
      <c r="A7" s="3" t="n">
        <v>6</v>
      </c>
      <c r="B7" s="4" t="n">
        <v>84</v>
      </c>
      <c r="C7" s="3" t="inlineStr">
        <is>
          <t>FSMEX</t>
        </is>
      </c>
      <c r="D7" s="3" t="inlineStr">
        <is>
          <t>Medical Tech &amp; Devices</t>
        </is>
      </c>
      <c r="E7" s="3" t="inlineStr">
        <is>
          <t>Health Care</t>
        </is>
      </c>
      <c r="F7" s="5" t="n">
        <v>56.41</v>
      </c>
      <c r="G7" s="6" t="n">
        <v>-0.01604747870676382</v>
      </c>
      <c r="H7" s="6" t="n">
        <v>0.009123404429552728</v>
      </c>
      <c r="I7" s="6" t="n">
        <v>0.0105696910751254</v>
      </c>
      <c r="J7" s="6" t="n">
        <v>0.04968362645241897</v>
      </c>
      <c r="K7" s="6" t="n">
        <v>0.1568909308698754</v>
      </c>
      <c r="L7" s="6" t="n">
        <v>0.2493908735546606</v>
      </c>
      <c r="M7" s="6" t="n">
        <v>0.06030023743486024</v>
      </c>
      <c r="N7" s="6" t="n">
        <v>0.1332568200404132</v>
      </c>
      <c r="O7" s="6" t="n">
        <v>0.4112864796810172</v>
      </c>
      <c r="P7" s="6" t="n">
        <v>0.1216871043897934</v>
      </c>
    </row>
    <row r="8">
      <c r="A8" s="3" t="n">
        <v>7</v>
      </c>
      <c r="B8" s="4" t="n">
        <v>81</v>
      </c>
      <c r="C8" s="3" t="inlineStr">
        <is>
          <t>FBSOX</t>
        </is>
      </c>
      <c r="D8" s="3" t="inlineStr">
        <is>
          <t>Enterprise Tech Services</t>
        </is>
      </c>
      <c r="E8" s="3" t="inlineStr">
        <is>
          <t>Information Technology</t>
        </is>
      </c>
      <c r="F8" s="5" t="n">
        <v>46.67</v>
      </c>
      <c r="G8" s="6" t="n">
        <v>-0.01685281295945928</v>
      </c>
      <c r="H8" s="6" t="n">
        <v>-0.007865704493638659</v>
      </c>
      <c r="I8" s="6" t="n">
        <v>0.04594350708501804</v>
      </c>
      <c r="J8" s="6" t="n">
        <v>0.04034769357930168</v>
      </c>
      <c r="K8" s="6" t="n">
        <v>0.1109259708068953</v>
      </c>
      <c r="L8" s="6" t="n">
        <v>0.2623748073562466</v>
      </c>
      <c r="M8" s="6" t="n">
        <v>0.1148652189036079</v>
      </c>
      <c r="N8" s="6" t="n">
        <v>0.09998037268168591</v>
      </c>
      <c r="O8" s="6" t="n">
        <v>0.3469350996737215</v>
      </c>
      <c r="P8" s="6" t="n">
        <v>0.1043724314500003</v>
      </c>
    </row>
    <row r="9">
      <c r="A9" s="3" t="n">
        <v>8</v>
      </c>
      <c r="B9" s="7" t="n">
        <v>78</v>
      </c>
      <c r="C9" s="3" t="inlineStr">
        <is>
          <t>FPHAX</t>
        </is>
      </c>
      <c r="D9" s="3" t="inlineStr">
        <is>
          <t>Pharmaceuticals</t>
        </is>
      </c>
      <c r="E9" s="3" t="inlineStr">
        <is>
          <t>Health Care</t>
        </is>
      </c>
      <c r="F9" s="5" t="n">
        <v>35.14</v>
      </c>
      <c r="G9" s="6" t="n">
        <v>-0.008744749410981689</v>
      </c>
      <c r="H9" s="6" t="n">
        <v>0.02002898726932023</v>
      </c>
      <c r="I9" s="6" t="n">
        <v>0.03780268033738787</v>
      </c>
      <c r="J9" s="6" t="n">
        <v>0.02808657331484232</v>
      </c>
      <c r="K9" s="6" t="n">
        <v>0.02688480818605909</v>
      </c>
      <c r="L9" s="6" t="n">
        <v>0.1446253588393678</v>
      </c>
      <c r="M9" s="6" t="n">
        <v>0.1456811656677224</v>
      </c>
      <c r="N9" s="6" t="n">
        <v>0.2949910323697853</v>
      </c>
      <c r="O9" s="6" t="n">
        <v>0.7036381246209844</v>
      </c>
      <c r="P9" s="6" t="n">
        <v>0.1943339658164107</v>
      </c>
    </row>
    <row r="10">
      <c r="A10" s="3" t="n">
        <v>9</v>
      </c>
      <c r="B10" s="7" t="n">
        <v>75</v>
      </c>
      <c r="C10" s="3" t="inlineStr">
        <is>
          <t>FSPHX</t>
        </is>
      </c>
      <c r="D10" s="3" t="inlineStr">
        <is>
          <t>Health Care</t>
        </is>
      </c>
      <c r="E10" s="3" t="inlineStr">
        <is>
          <t>Health Care</t>
        </is>
      </c>
      <c r="F10" s="5" t="n">
        <v>28.98</v>
      </c>
      <c r="G10" s="6" t="n">
        <v>-0.01895739187322287</v>
      </c>
      <c r="H10" s="6" t="n">
        <v>-0.009907786504677829</v>
      </c>
      <c r="I10" s="6" t="n">
        <v>-0.01294281540243758</v>
      </c>
      <c r="J10" s="6" t="n">
        <v>-0.01058386355756913</v>
      </c>
      <c r="K10" s="6" t="n">
        <v>0.04319650201332381</v>
      </c>
      <c r="L10" s="6" t="n">
        <v>0.1804480832116799</v>
      </c>
      <c r="M10" s="6" t="n">
        <v>0.1304446747580652</v>
      </c>
      <c r="N10" s="6" t="n">
        <v>0.2194114943347909</v>
      </c>
      <c r="O10" s="6" t="n">
        <v>0.5012446587963102</v>
      </c>
      <c r="P10" s="6" t="n">
        <v>0.1450307724982409</v>
      </c>
    </row>
    <row r="11">
      <c r="A11" s="3" t="n">
        <v>10</v>
      </c>
      <c r="B11" s="7" t="n">
        <v>72</v>
      </c>
      <c r="C11" s="3" t="inlineStr">
        <is>
          <t>FWRLX</t>
        </is>
      </c>
      <c r="D11" s="3" t="inlineStr">
        <is>
          <t>Wireless</t>
        </is>
      </c>
      <c r="E11" s="3" t="inlineStr">
        <is>
          <t>Communication Services</t>
        </is>
      </c>
      <c r="F11" s="5" t="n">
        <v>14.58</v>
      </c>
      <c r="G11" s="6" t="n">
        <v>-0.01219514243797659</v>
      </c>
      <c r="H11" s="6" t="n">
        <v>-0.02344275782421734</v>
      </c>
      <c r="I11" s="6" t="n">
        <v>-0.03825857055038584</v>
      </c>
      <c r="J11" s="6" t="n">
        <v>-0.03379723152583081</v>
      </c>
      <c r="K11" s="6" t="n">
        <v>0.00413219449385771</v>
      </c>
      <c r="L11" s="6" t="n">
        <v>0.09459461394518187</v>
      </c>
      <c r="M11" s="6" t="n">
        <v>0.2373790796027531</v>
      </c>
      <c r="N11" s="6" t="n">
        <v>0.2381498079634274</v>
      </c>
      <c r="O11" s="6" t="n">
        <v>0.8082067511721287</v>
      </c>
      <c r="P11" s="6" t="n">
        <v>0.2182863046882315</v>
      </c>
    </row>
    <row r="12">
      <c r="A12" s="3" t="n">
        <v>11</v>
      </c>
      <c r="B12" s="7" t="n">
        <v>69</v>
      </c>
      <c r="C12" s="3" t="inlineStr">
        <is>
          <t>FDFAX</t>
        </is>
      </c>
      <c r="D12" s="3" t="inlineStr">
        <is>
          <t>Consumer Staples</t>
        </is>
      </c>
      <c r="E12" s="3" t="inlineStr">
        <is>
          <t>Consumer Staples</t>
        </is>
      </c>
      <c r="F12" s="5" t="n">
        <v>98.28</v>
      </c>
      <c r="G12" s="6" t="n">
        <v>0.01100709499950114</v>
      </c>
      <c r="H12" s="6" t="n">
        <v>0.05439330269952558</v>
      </c>
      <c r="I12" s="6" t="n">
        <v>0.09212135917679509</v>
      </c>
      <c r="J12" s="6" t="n">
        <v>0.06647267457653028</v>
      </c>
      <c r="K12" s="6" t="n">
        <v>0.05395661350665826</v>
      </c>
      <c r="L12" s="6" t="n">
        <v>0.1234820124785441</v>
      </c>
      <c r="M12" s="6" t="n">
        <v>0.1431565847137493</v>
      </c>
      <c r="N12" s="6" t="n">
        <v>0.197511746193352</v>
      </c>
      <c r="O12" s="6" t="n">
        <v>0.3269413967409487</v>
      </c>
      <c r="P12" s="6" t="n">
        <v>0.09888078910576414</v>
      </c>
    </row>
    <row r="13">
      <c r="A13" s="3" t="n">
        <v>12</v>
      </c>
      <c r="B13" s="7" t="n">
        <v>66</v>
      </c>
      <c r="C13" s="3" t="inlineStr">
        <is>
          <t>FSPCX</t>
        </is>
      </c>
      <c r="D13" s="3" t="inlineStr">
        <is>
          <t>Insurance</t>
        </is>
      </c>
      <c r="E13" s="3" t="inlineStr">
        <is>
          <t>Financials</t>
        </is>
      </c>
      <c r="F13" s="5" t="n">
        <v>97.94</v>
      </c>
      <c r="G13" s="6" t="n">
        <v>0.01576440885009789</v>
      </c>
      <c r="H13" s="6" t="n">
        <v>0.04928226145267467</v>
      </c>
      <c r="I13" s="6" t="n">
        <v>0.07378580664934242</v>
      </c>
      <c r="J13" s="6" t="n">
        <v>0.0237274413704105</v>
      </c>
      <c r="K13" s="6" t="n">
        <v>0.02673239404627292</v>
      </c>
      <c r="L13" s="6" t="n">
        <v>0.1214931912045218</v>
      </c>
      <c r="M13" s="6" t="n">
        <v>0.1448365584535689</v>
      </c>
      <c r="N13" s="6" t="n">
        <v>0.1584188275211724</v>
      </c>
      <c r="O13" s="6" t="n">
        <v>0.5383472894389429</v>
      </c>
      <c r="P13" s="6" t="n">
        <v>0.1543870962034055</v>
      </c>
    </row>
    <row r="14">
      <c r="A14" s="3" t="n">
        <v>13</v>
      </c>
      <c r="B14" s="7" t="n">
        <v>63</v>
      </c>
      <c r="C14" s="3" t="inlineStr">
        <is>
          <t>FSAGX</t>
        </is>
      </c>
      <c r="D14" s="3" t="inlineStr">
        <is>
          <t>Gold</t>
        </is>
      </c>
      <c r="E14" s="3" t="inlineStr">
        <is>
          <t>Materials</t>
        </is>
      </c>
      <c r="F14" s="5" t="n">
        <v>60.75</v>
      </c>
      <c r="G14" s="6" t="n">
        <v>0.00696168002980424</v>
      </c>
      <c r="H14" s="6" t="n">
        <v>-0.02189664461418306</v>
      </c>
      <c r="I14" s="6" t="n">
        <v>-0.005239883681403379</v>
      </c>
      <c r="J14" s="6" t="n">
        <v>-0.06047020477359832</v>
      </c>
      <c r="K14" s="6" t="n">
        <v>0.2453874850399425</v>
      </c>
      <c r="L14" s="6" t="n">
        <v>-0.08301886792452828</v>
      </c>
      <c r="M14" s="6" t="n">
        <v>-0.05004845423070514</v>
      </c>
      <c r="N14" s="6" t="n">
        <v>0.09507954898415671</v>
      </c>
      <c r="O14" s="6" t="n">
        <v>2.160188084321832</v>
      </c>
      <c r="P14" s="6" t="n">
        <v>0.4674758979887961</v>
      </c>
    </row>
    <row r="15">
      <c r="A15" s="3" t="n">
        <v>14</v>
      </c>
      <c r="B15" s="7" t="n">
        <v>60</v>
      </c>
      <c r="C15" s="3" t="inlineStr">
        <is>
          <t>FSHCX</t>
        </is>
      </c>
      <c r="D15" s="3" t="inlineStr">
        <is>
          <t>Health Care Services</t>
        </is>
      </c>
      <c r="E15" s="3" t="inlineStr">
        <is>
          <t>Health Care</t>
        </is>
      </c>
      <c r="F15" s="5" t="n">
        <v>117.63</v>
      </c>
      <c r="G15" s="6" t="n">
        <v>-0.0104316098638243</v>
      </c>
      <c r="H15" s="6" t="n">
        <v>0.03996106992022019</v>
      </c>
      <c r="I15" s="6" t="n">
        <v>0.06955804385327014</v>
      </c>
      <c r="J15" s="6" t="n">
        <v>0.04254183589884653</v>
      </c>
      <c r="K15" s="6" t="n">
        <v>-0.02341220229367036</v>
      </c>
      <c r="L15" s="6" t="n">
        <v>0.1885419400076902</v>
      </c>
      <c r="M15" s="6" t="n">
        <v>0.1262925555695162</v>
      </c>
      <c r="N15" s="6" t="n">
        <v>0.1455326600907629</v>
      </c>
      <c r="O15" s="6" t="n">
        <v>0.05275017515680136</v>
      </c>
      <c r="P15" s="6" t="n">
        <v>0.01728296985808697</v>
      </c>
    </row>
    <row r="16">
      <c r="A16" s="3" t="n">
        <v>15</v>
      </c>
      <c r="B16" s="7" t="n">
        <v>57</v>
      </c>
      <c r="C16" s="3" t="inlineStr">
        <is>
          <t>FBIOX</t>
        </is>
      </c>
      <c r="D16" s="3" t="inlineStr">
        <is>
          <t>Biotechnology</t>
        </is>
      </c>
      <c r="E16" s="3" t="inlineStr">
        <is>
          <t>Health Care</t>
        </is>
      </c>
      <c r="F16" s="5" t="n">
        <v>27.17</v>
      </c>
      <c r="G16" s="6" t="n">
        <v>-0.02755907097514465</v>
      </c>
      <c r="H16" s="6" t="n">
        <v>-0.03788950791417989</v>
      </c>
      <c r="I16" s="6" t="n">
        <v>-0.03788950791417989</v>
      </c>
      <c r="J16" s="6" t="n">
        <v>-0.05823224550994599</v>
      </c>
      <c r="K16" s="6" t="n">
        <v>-0.03823008579490461</v>
      </c>
      <c r="L16" s="6" t="n">
        <v>0.06758346804685256</v>
      </c>
      <c r="M16" s="6" t="n">
        <v>0.1263962622846806</v>
      </c>
      <c r="N16" s="6" t="n">
        <v>0.2307611822678315</v>
      </c>
      <c r="O16" s="6" t="n">
        <v>0.9122311590782219</v>
      </c>
      <c r="P16" s="6" t="n">
        <v>0.2412143755146592</v>
      </c>
    </row>
    <row r="17">
      <c r="A17" s="3" t="n">
        <v>16</v>
      </c>
      <c r="B17" s="7" t="n">
        <v>54</v>
      </c>
      <c r="C17" s="3" t="inlineStr">
        <is>
          <t>FIDSX</t>
        </is>
      </c>
      <c r="D17" s="3" t="inlineStr">
        <is>
          <t>Financials</t>
        </is>
      </c>
      <c r="E17" s="3" t="inlineStr">
        <is>
          <t>Financials</t>
        </is>
      </c>
      <c r="F17" s="5" t="n">
        <v>16.51</v>
      </c>
      <c r="G17" s="6" t="n">
        <v>0.001212884053443331</v>
      </c>
      <c r="H17" s="6" t="n">
        <v>0.001820430065463174</v>
      </c>
      <c r="I17" s="6" t="n">
        <v>0.01787921873021148</v>
      </c>
      <c r="J17" s="6" t="n">
        <v>-0.02653295282325852</v>
      </c>
      <c r="K17" s="6" t="n">
        <v>-0.04566468456752026</v>
      </c>
      <c r="L17" s="6" t="n">
        <v>0.06310370333297821</v>
      </c>
      <c r="M17" s="6" t="n">
        <v>0.04267821981141551</v>
      </c>
      <c r="N17" s="6" t="n">
        <v>0.1418769018788015</v>
      </c>
      <c r="O17" s="6" t="n">
        <v>0.8913483545139635</v>
      </c>
      <c r="P17" s="6" t="n">
        <v>0.2366795387621075</v>
      </c>
    </row>
    <row r="18">
      <c r="A18" s="3" t="n">
        <v>17</v>
      </c>
      <c r="B18" s="7" t="n">
        <v>51</v>
      </c>
      <c r="C18" s="3" t="inlineStr">
        <is>
          <t>FSCHX</t>
        </is>
      </c>
      <c r="D18" s="3" t="inlineStr">
        <is>
          <t>Chemicals</t>
        </is>
      </c>
      <c r="E18" s="3" t="inlineStr">
        <is>
          <t>Materials</t>
        </is>
      </c>
      <c r="F18" s="5" t="n">
        <v>13.65</v>
      </c>
      <c r="G18" s="6" t="n">
        <v>0.0007330846741815389</v>
      </c>
      <c r="H18" s="6" t="n">
        <v>0.02863595686948761</v>
      </c>
      <c r="I18" s="6" t="n">
        <v>0.02941171816867483</v>
      </c>
      <c r="J18" s="6" t="n">
        <v>0.02631574607338938</v>
      </c>
      <c r="K18" s="6" t="n">
        <v>-0.03669727981396553</v>
      </c>
      <c r="L18" s="6" t="n">
        <v>-0.0256959746231421</v>
      </c>
      <c r="M18" s="6" t="n">
        <v>0.07148727299023827</v>
      </c>
      <c r="N18" s="6" t="n">
        <v>0.1588365050134664</v>
      </c>
      <c r="O18" s="6" t="n">
        <v>0.1143696617463226</v>
      </c>
      <c r="P18" s="6" t="n">
        <v>0.03675568791435246</v>
      </c>
    </row>
    <row r="19">
      <c r="A19" s="3" t="n">
        <v>18</v>
      </c>
      <c r="B19" s="7" t="n">
        <v>49</v>
      </c>
      <c r="C19" s="3" t="inlineStr">
        <is>
          <t>FSLEX</t>
        </is>
      </c>
      <c r="D19" s="3" t="inlineStr">
        <is>
          <t>Environment &amp; Alt Energy</t>
        </is>
      </c>
      <c r="E19" s="3" t="inlineStr">
        <is>
          <t>Energy</t>
        </is>
      </c>
      <c r="F19" s="5" t="n">
        <v>50.64</v>
      </c>
      <c r="G19" s="6" t="n">
        <v>-0.01267306520328271</v>
      </c>
      <c r="H19" s="6" t="n">
        <v>-0.02577914898785394</v>
      </c>
      <c r="I19" s="6" t="n">
        <v>-0.01612593377442606</v>
      </c>
      <c r="J19" s="6" t="n">
        <v>0.01158605674083879</v>
      </c>
      <c r="K19" s="6" t="n">
        <v>-0.03155481921953729</v>
      </c>
      <c r="L19" s="6" t="n">
        <v>0.01421988944788888</v>
      </c>
      <c r="M19" s="6" t="n">
        <v>0.05108064778692234</v>
      </c>
      <c r="N19" s="6" t="n">
        <v>0.09805126301389944</v>
      </c>
      <c r="O19" s="6" t="n">
        <v>0.7581141110509326</v>
      </c>
      <c r="P19" s="6" t="n">
        <v>0.2069307525323039</v>
      </c>
    </row>
    <row r="20">
      <c r="A20" s="3" t="n">
        <v>19</v>
      </c>
      <c r="B20" s="7" t="n">
        <v>46</v>
      </c>
      <c r="C20" s="3" t="inlineStr">
        <is>
          <t>FSDPX</t>
        </is>
      </c>
      <c r="D20" s="3" t="inlineStr">
        <is>
          <t>Materials</t>
        </is>
      </c>
      <c r="E20" s="3" t="inlineStr">
        <is>
          <t>Materials</t>
        </is>
      </c>
      <c r="F20" s="5" t="n">
        <v>97.81</v>
      </c>
      <c r="G20" s="6" t="n">
        <v>0.004003278556545364</v>
      </c>
      <c r="H20" s="6" t="n">
        <v>0.005551567124124412</v>
      </c>
      <c r="I20" s="6" t="n">
        <v>0.01610217523338164</v>
      </c>
      <c r="J20" s="6" t="n">
        <v>-0.006399886907636931</v>
      </c>
      <c r="K20" s="6" t="n">
        <v>0.003282384878819933</v>
      </c>
      <c r="L20" s="6" t="n">
        <v>-0.05579688178039544</v>
      </c>
      <c r="M20" s="6" t="n">
        <v>0.01168697671269392</v>
      </c>
      <c r="N20" s="6" t="n">
        <v>0.1195582321005326</v>
      </c>
      <c r="O20" s="6" t="n">
        <v>0.2568889837045589</v>
      </c>
      <c r="P20" s="6" t="n">
        <v>0.07919263611132088</v>
      </c>
    </row>
    <row r="21">
      <c r="A21" s="3" t="n">
        <v>20</v>
      </c>
      <c r="B21" s="7" t="n">
        <v>43</v>
      </c>
      <c r="C21" s="3" t="inlineStr">
        <is>
          <t>FSRBX</t>
        </is>
      </c>
      <c r="D21" s="3" t="inlineStr">
        <is>
          <t>Banking</t>
        </is>
      </c>
      <c r="E21" s="3" t="inlineStr">
        <is>
          <t>Financials</t>
        </is>
      </c>
      <c r="F21" s="5" t="n">
        <v>35.46</v>
      </c>
      <c r="G21" s="6" t="n">
        <v>0.003395555499905001</v>
      </c>
      <c r="H21" s="6" t="n">
        <v>0</v>
      </c>
      <c r="I21" s="6" t="n">
        <v>-0.008389240803736264</v>
      </c>
      <c r="J21" s="6" t="n">
        <v>-0.03954493924381375</v>
      </c>
      <c r="K21" s="6" t="n">
        <v>-0.1020512135402524</v>
      </c>
      <c r="L21" s="6" t="n">
        <v>0.02693311144086641</v>
      </c>
      <c r="M21" s="6" t="n">
        <v>0.03992622670587886</v>
      </c>
      <c r="N21" s="6" t="n">
        <v>0.2105998427563405</v>
      </c>
      <c r="O21" s="6" t="n">
        <v>1.106298961921722</v>
      </c>
      <c r="P21" s="6" t="n">
        <v>0.2818582551177087</v>
      </c>
    </row>
    <row r="22">
      <c r="A22" s="3" t="n">
        <v>21</v>
      </c>
      <c r="B22" s="7" t="n">
        <v>40</v>
      </c>
      <c r="C22" s="3" t="inlineStr">
        <is>
          <t>FSVLX</t>
        </is>
      </c>
      <c r="D22" s="3" t="inlineStr">
        <is>
          <t>FinTech</t>
        </is>
      </c>
      <c r="E22" s="3" t="inlineStr">
        <is>
          <t>Financials</t>
        </is>
      </c>
      <c r="F22" s="5" t="n">
        <v>17.6</v>
      </c>
      <c r="G22" s="6" t="n">
        <v>-0.01289958178466</v>
      </c>
      <c r="H22" s="6" t="n">
        <v>0.01792940714444891</v>
      </c>
      <c r="I22" s="6" t="n">
        <v>0.08108105891586459</v>
      </c>
      <c r="J22" s="6" t="n">
        <v>0.06216057366417682</v>
      </c>
      <c r="K22" s="6" t="n">
        <v>0.03286381665813742</v>
      </c>
      <c r="L22" s="6" t="n">
        <v>0.08709078449046403</v>
      </c>
      <c r="M22" s="6" t="n">
        <v>-0.04243736751423999</v>
      </c>
      <c r="N22" s="6" t="n">
        <v>-0.07417147977041583</v>
      </c>
      <c r="O22" s="6" t="n">
        <v>0.2698413288192747</v>
      </c>
      <c r="P22" s="6" t="n">
        <v>0.08288703118457375</v>
      </c>
    </row>
    <row r="23">
      <c r="A23" s="3" t="n">
        <v>22</v>
      </c>
      <c r="B23" s="7" t="n">
        <v>37</v>
      </c>
      <c r="C23" s="3" t="inlineStr">
        <is>
          <t>FSRPX</t>
        </is>
      </c>
      <c r="D23" s="3" t="inlineStr">
        <is>
          <t>Retailing</t>
        </is>
      </c>
      <c r="E23" s="3" t="inlineStr">
        <is>
          <t>Consumer Discretionary</t>
        </is>
      </c>
      <c r="F23" s="5" t="n">
        <v>17.5</v>
      </c>
      <c r="G23" s="6" t="n">
        <v>-0.005681839733083893</v>
      </c>
      <c r="H23" s="6" t="n">
        <v>0.02040818596238081</v>
      </c>
      <c r="I23" s="6" t="n">
        <v>0.05231514631016343</v>
      </c>
      <c r="J23" s="6" t="n">
        <v>0.05676331910461951</v>
      </c>
      <c r="K23" s="6" t="n">
        <v>-0.01352873586328329</v>
      </c>
      <c r="L23" s="6" t="n">
        <v>0.002865285666160844</v>
      </c>
      <c r="M23" s="6" t="n">
        <v>-0.02278639183528008</v>
      </c>
      <c r="N23" s="6" t="n">
        <v>0.08159339998670267</v>
      </c>
      <c r="O23" s="6" t="n">
        <v>0.5001928577396615</v>
      </c>
      <c r="P23" s="6" t="n">
        <v>0.144763299784572</v>
      </c>
    </row>
    <row r="24">
      <c r="A24" s="3" t="n">
        <v>23</v>
      </c>
      <c r="B24" s="7" t="n">
        <v>34</v>
      </c>
      <c r="C24" s="3" t="inlineStr">
        <is>
          <t>FSRFX</t>
        </is>
      </c>
      <c r="D24" s="3" t="inlineStr">
        <is>
          <t>Transportation</t>
        </is>
      </c>
      <c r="E24" s="3" t="inlineStr">
        <is>
          <t>Industrials</t>
        </is>
      </c>
      <c r="F24" s="5" t="n">
        <v>112.95</v>
      </c>
      <c r="G24" s="6" t="n">
        <v>-0.01301997082643325</v>
      </c>
      <c r="H24" s="6" t="n">
        <v>-0.007730869442650001</v>
      </c>
      <c r="I24" s="6" t="n">
        <v>-0.01405377657701234</v>
      </c>
      <c r="J24" s="6" t="n">
        <v>-0.007032993861607162</v>
      </c>
      <c r="K24" s="6" t="n">
        <v>-0.1104198167887779</v>
      </c>
      <c r="L24" s="6" t="n">
        <v>0.0003542049848168638</v>
      </c>
      <c r="M24" s="6" t="n">
        <v>0.05284956214658232</v>
      </c>
      <c r="N24" s="6" t="n">
        <v>0.1692538141417601</v>
      </c>
      <c r="O24" s="6" t="n">
        <v>0.4378559655953747</v>
      </c>
      <c r="P24" s="6" t="n">
        <v>0.1286825080457723</v>
      </c>
    </row>
    <row r="25">
      <c r="A25" s="3" t="n">
        <v>24</v>
      </c>
      <c r="B25" s="7" t="n">
        <v>31</v>
      </c>
      <c r="C25" s="3" t="inlineStr">
        <is>
          <t>FRESX</t>
        </is>
      </c>
      <c r="D25" s="3" t="inlineStr">
        <is>
          <t>Real Estate Investment</t>
        </is>
      </c>
      <c r="E25" s="3" t="inlineStr">
        <is>
          <t>Real Estate</t>
        </is>
      </c>
      <c r="F25" s="5" t="n">
        <v>39.95</v>
      </c>
      <c r="G25" s="6" t="n">
        <v>0.003012777463424765</v>
      </c>
      <c r="H25" s="6" t="n">
        <v>0.007566184754488336</v>
      </c>
      <c r="I25" s="6" t="n">
        <v>0.02330942177437745</v>
      </c>
      <c r="J25" s="6" t="n">
        <v>-0.01138329834718166</v>
      </c>
      <c r="K25" s="6" t="n">
        <v>-0.07503529122692287</v>
      </c>
      <c r="L25" s="6" t="n">
        <v>-0.02444546974371964</v>
      </c>
      <c r="M25" s="6" t="n">
        <v>0.03312828252047462</v>
      </c>
      <c r="N25" s="6" t="n">
        <v>0.06833663767314624</v>
      </c>
      <c r="O25" s="6" t="n">
        <v>0.3579831939311064</v>
      </c>
      <c r="P25" s="6" t="n">
        <v>0.1073837129370874</v>
      </c>
    </row>
    <row r="26">
      <c r="A26" s="3" t="n">
        <v>25</v>
      </c>
      <c r="B26" s="8" t="n">
        <v>28</v>
      </c>
      <c r="C26" s="3" t="inlineStr">
        <is>
          <t>FSTCX</t>
        </is>
      </c>
      <c r="D26" s="3" t="inlineStr">
        <is>
          <t>Telecommunications</t>
        </is>
      </c>
      <c r="E26" s="3" t="inlineStr">
        <is>
          <t>Communication Services</t>
        </is>
      </c>
      <c r="F26" s="5" t="n">
        <v>62.11</v>
      </c>
      <c r="G26" s="6" t="n">
        <v>-0.01584534923670999</v>
      </c>
      <c r="H26" s="6" t="n">
        <v>-0.01381389231832741</v>
      </c>
      <c r="I26" s="6" t="n">
        <v>-0.07409065421942584</v>
      </c>
      <c r="J26" s="6" t="n">
        <v>-0.1027058973170286</v>
      </c>
      <c r="K26" s="6" t="n">
        <v>-0.04652232687998048</v>
      </c>
      <c r="L26" s="6" t="n">
        <v>-0.09487093134917335</v>
      </c>
      <c r="M26" s="6" t="n">
        <v>0.04895276184529451</v>
      </c>
      <c r="N26" s="6" t="n">
        <v>0.04915837681853485</v>
      </c>
      <c r="O26" s="6" t="n">
        <v>0.6426535989637472</v>
      </c>
      <c r="P26" s="6" t="n">
        <v>0.179909405800684</v>
      </c>
    </row>
    <row r="27">
      <c r="A27" s="3" t="n">
        <v>26</v>
      </c>
      <c r="B27" s="8" t="n">
        <v>25</v>
      </c>
      <c r="C27" s="3" t="inlineStr">
        <is>
          <t>FDLSX</t>
        </is>
      </c>
      <c r="D27" s="3" t="inlineStr">
        <is>
          <t>Leisure</t>
        </is>
      </c>
      <c r="E27" s="3" t="inlineStr">
        <is>
          <t>Consumer Discretionary</t>
        </is>
      </c>
      <c r="F27" s="5" t="n">
        <v>16</v>
      </c>
      <c r="G27" s="6" t="n">
        <v>-0.006211203670828613</v>
      </c>
      <c r="H27" s="6" t="n">
        <v>0.02564100056083385</v>
      </c>
      <c r="I27" s="6" t="n">
        <v>0.04031208588723856</v>
      </c>
      <c r="J27" s="6" t="n">
        <v>0.0349288460880075</v>
      </c>
      <c r="K27" s="6" t="n">
        <v>-0.03030303030303028</v>
      </c>
      <c r="L27" s="6" t="n">
        <v>-0.001248467989523605</v>
      </c>
      <c r="M27" s="6" t="n">
        <v>-0.04939544436408738</v>
      </c>
      <c r="N27" s="6" t="n">
        <v>-0.05074308936060612</v>
      </c>
      <c r="O27" s="6" t="n">
        <v>0.3517723766127778</v>
      </c>
      <c r="P27" s="6" t="n">
        <v>0.1056929041024952</v>
      </c>
    </row>
    <row r="28">
      <c r="A28" s="3" t="n">
        <v>27</v>
      </c>
      <c r="B28" s="8" t="n">
        <v>22</v>
      </c>
      <c r="C28" s="3" t="inlineStr">
        <is>
          <t>FIDRX</t>
        </is>
      </c>
      <c r="D28" s="3" t="inlineStr">
        <is>
          <t>Industrials</t>
        </is>
      </c>
      <c r="E28" s="3" t="inlineStr">
        <is>
          <t>Industrials</t>
        </is>
      </c>
      <c r="F28" s="5" t="n">
        <v>66.18000000000001</v>
      </c>
      <c r="G28" s="6" t="n">
        <v>-0.002712481969864622</v>
      </c>
      <c r="H28" s="6" t="n">
        <v>-0.01517852216350568</v>
      </c>
      <c r="I28" s="6" t="n">
        <v>-0.02245194551823204</v>
      </c>
      <c r="J28" s="6" t="n">
        <v>-0.003313271319992039</v>
      </c>
      <c r="K28" s="6" t="n">
        <v>-0.08943313115997764</v>
      </c>
      <c r="L28" s="6" t="n">
        <v>-0.02647841957739805</v>
      </c>
      <c r="M28" s="6" t="n">
        <v>0.002119918045239144</v>
      </c>
      <c r="N28" s="6" t="inlineStr"/>
      <c r="O28" s="6" t="inlineStr"/>
      <c r="P28" s="6" t="inlineStr"/>
    </row>
    <row r="29">
      <c r="A29" s="3" t="n">
        <v>28</v>
      </c>
      <c r="B29" s="8" t="n">
        <v>19</v>
      </c>
      <c r="C29" s="3" t="inlineStr">
        <is>
          <t>FSCPX</t>
        </is>
      </c>
      <c r="D29" s="3" t="inlineStr">
        <is>
          <t>Consumer Discretionary</t>
        </is>
      </c>
      <c r="E29" s="3" t="inlineStr">
        <is>
          <t>Consumer Discretionary</t>
        </is>
      </c>
      <c r="F29" s="5" t="n">
        <v>62.38</v>
      </c>
      <c r="G29" s="6" t="n">
        <v>-0.008739857530483897</v>
      </c>
      <c r="H29" s="6" t="n">
        <v>-0.005737975784516403</v>
      </c>
      <c r="I29" s="6" t="n">
        <v>0.02078220332317504</v>
      </c>
      <c r="J29" s="6" t="n">
        <v>0.02548083495649744</v>
      </c>
      <c r="K29" s="6" t="n">
        <v>-0.05898325227653234</v>
      </c>
      <c r="L29" s="6" t="n">
        <v>-0.04500916473430328</v>
      </c>
      <c r="M29" s="6" t="n">
        <v>-0.08876840708053368</v>
      </c>
      <c r="N29" s="6" t="n">
        <v>-0.01497736456764986</v>
      </c>
      <c r="O29" s="6" t="n">
        <v>0.4530596544175163</v>
      </c>
      <c r="P29" s="6" t="n">
        <v>0.1326467455135674</v>
      </c>
    </row>
    <row r="30">
      <c r="A30" s="3" t="n">
        <v>29</v>
      </c>
      <c r="B30" s="8" t="n">
        <v>16</v>
      </c>
      <c r="C30" s="3" t="inlineStr">
        <is>
          <t>FSAVX</t>
        </is>
      </c>
      <c r="D30" s="3" t="inlineStr">
        <is>
          <t>Automotive</t>
        </is>
      </c>
      <c r="E30" s="3" t="inlineStr">
        <is>
          <t>Consumer Discretionary</t>
        </is>
      </c>
      <c r="F30" s="5" t="n">
        <v>51.87</v>
      </c>
      <c r="G30" s="6" t="n">
        <v>-0.0007705820775365524</v>
      </c>
      <c r="H30" s="6" t="n">
        <v>0.003094176179557317</v>
      </c>
      <c r="I30" s="6" t="n">
        <v>0.01805688233894021</v>
      </c>
      <c r="J30" s="6" t="n">
        <v>-0.01891431852095082</v>
      </c>
      <c r="K30" s="6" t="n">
        <v>-0.04175137800914808</v>
      </c>
      <c r="L30" s="6" t="n">
        <v>-0.06473134172108197</v>
      </c>
      <c r="M30" s="6" t="n">
        <v>-0.1125197395923927</v>
      </c>
      <c r="N30" s="6" t="n">
        <v>-0.05016105282886252</v>
      </c>
      <c r="O30" s="6" t="n">
        <v>0.1979952486912933</v>
      </c>
      <c r="P30" s="6" t="n">
        <v>0.06206647095816287</v>
      </c>
    </row>
    <row r="31">
      <c r="A31" s="3" t="n">
        <v>30</v>
      </c>
      <c r="B31" s="8" t="n">
        <v>13</v>
      </c>
      <c r="C31" s="3" t="inlineStr">
        <is>
          <t>FSUTX</t>
        </is>
      </c>
      <c r="D31" s="3" t="inlineStr">
        <is>
          <t>Utilities</t>
        </is>
      </c>
      <c r="E31" s="3" t="inlineStr">
        <is>
          <t>Utilities</t>
        </is>
      </c>
      <c r="F31" s="5" t="n">
        <v>125.64</v>
      </c>
      <c r="G31" s="6" t="n">
        <v>0.01167563346273637</v>
      </c>
      <c r="H31" s="6" t="n">
        <v>0.01298073551719092</v>
      </c>
      <c r="I31" s="6" t="n">
        <v>0.05482326207568988</v>
      </c>
      <c r="J31" s="6" t="n">
        <v>0.02803384294857736</v>
      </c>
      <c r="K31" s="6" t="n">
        <v>-0.07563458506718534</v>
      </c>
      <c r="L31" s="6" t="n">
        <v>-0.1065962600910076</v>
      </c>
      <c r="M31" s="6" t="n">
        <v>-0.03226446042434916</v>
      </c>
      <c r="N31" s="6" t="n">
        <v>-0.07840082969123419</v>
      </c>
      <c r="O31" s="6" t="n">
        <v>0.5681345763593411</v>
      </c>
      <c r="P31" s="6" t="n">
        <v>0.1617903823791085</v>
      </c>
    </row>
    <row r="32">
      <c r="A32" s="3" t="n">
        <v>31</v>
      </c>
      <c r="B32" s="8" t="n">
        <v>10</v>
      </c>
      <c r="C32" s="3" t="inlineStr">
        <is>
          <t>FSDAX</t>
        </is>
      </c>
      <c r="D32" s="3" t="inlineStr">
        <is>
          <t>Defense and Aerospace</t>
        </is>
      </c>
      <c r="E32" s="3" t="inlineStr">
        <is>
          <t>Industrials</t>
        </is>
      </c>
      <c r="F32" s="5" t="n">
        <v>25.32</v>
      </c>
      <c r="G32" s="6" t="n">
        <v>0.007159916847488068</v>
      </c>
      <c r="H32" s="6" t="n">
        <v>0.007560705945197643</v>
      </c>
      <c r="I32" s="6" t="n">
        <v>-0.003149603342816221</v>
      </c>
      <c r="J32" s="6" t="n">
        <v>-0.029513240830215</v>
      </c>
      <c r="K32" s="6" t="n">
        <v>-0.104033988331427</v>
      </c>
      <c r="L32" s="6" t="n">
        <v>-0.06568268123946697</v>
      </c>
      <c r="M32" s="6" t="n">
        <v>-0.1252408640358513</v>
      </c>
      <c r="N32" s="6" t="n">
        <v>0.02698830383569151</v>
      </c>
      <c r="O32" s="6" t="n">
        <v>1.015911842128941</v>
      </c>
      <c r="P32" s="6" t="n">
        <v>0.2632535053470222</v>
      </c>
    </row>
    <row r="33">
      <c r="A33" s="3" t="n">
        <v>32</v>
      </c>
      <c r="B33" s="8" t="n">
        <v>7</v>
      </c>
      <c r="C33" s="3" t="inlineStr">
        <is>
          <t>FSLBX</t>
        </is>
      </c>
      <c r="D33" s="3" t="inlineStr">
        <is>
          <t>Brokerage &amp; Inv Mgmt</t>
        </is>
      </c>
      <c r="E33" s="3" t="inlineStr">
        <is>
          <t>Financials</t>
        </is>
      </c>
      <c r="F33" s="5" t="n">
        <v>164.13</v>
      </c>
      <c r="G33" s="6" t="n">
        <v>-0.007858235208391351</v>
      </c>
      <c r="H33" s="6" t="n">
        <v>-0.02035328005234294</v>
      </c>
      <c r="I33" s="6" t="n">
        <v>-0.001399341242911745</v>
      </c>
      <c r="J33" s="6" t="n">
        <v>-0.03809412069386131</v>
      </c>
      <c r="K33" s="6" t="n">
        <v>-0.06643531561331462</v>
      </c>
      <c r="L33" s="6" t="n">
        <v>-0.02524052664660437</v>
      </c>
      <c r="M33" s="6" t="n">
        <v>-0.1689074863448059</v>
      </c>
      <c r="N33" s="6" t="n">
        <v>-0.09774161616827581</v>
      </c>
      <c r="O33" s="6" t="n">
        <v>0.4958021569517987</v>
      </c>
      <c r="P33" s="6" t="n">
        <v>0.1436453935800399</v>
      </c>
    </row>
    <row r="34">
      <c r="A34" s="3" t="n">
        <v>33</v>
      </c>
      <c r="B34" s="8" t="n">
        <v>4</v>
      </c>
      <c r="C34" s="3" t="inlineStr">
        <is>
          <t>FSHOX</t>
        </is>
      </c>
      <c r="D34" s="3" t="inlineStr">
        <is>
          <t>Construction &amp; Housing</t>
        </is>
      </c>
      <c r="E34" s="3" t="inlineStr">
        <is>
          <t>Consumer Discretionary</t>
        </is>
      </c>
      <c r="F34" s="5" t="n">
        <v>110.85</v>
      </c>
      <c r="G34" s="6" t="n">
        <v>-0.002070609949065494</v>
      </c>
      <c r="H34" s="6" t="n">
        <v>-0.009294851382612102</v>
      </c>
      <c r="I34" s="6" t="n">
        <v>-0.005026525173508656</v>
      </c>
      <c r="J34" s="6" t="n">
        <v>-0.003057864554543266</v>
      </c>
      <c r="K34" s="6" t="n">
        <v>-0.1119923347902708</v>
      </c>
      <c r="L34" s="6" t="n">
        <v>-0.08675233990417941</v>
      </c>
      <c r="M34" s="6" t="n">
        <v>-0.1241928248499093</v>
      </c>
      <c r="N34" s="6" t="n">
        <v>-0.07556906020683007</v>
      </c>
      <c r="O34" s="6" t="n">
        <v>0.3641768869627415</v>
      </c>
      <c r="P34" s="6" t="n">
        <v>0.1090647336397756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K82"/>
  <sheetViews>
    <sheetView workbookViewId="0">
      <selection activeCell="A1" sqref="A1"/>
    </sheetView>
  </sheetViews>
  <sheetFormatPr baseColWidth="8" defaultRowHeight="15"/>
  <cols>
    <col width="50" customWidth="1" min="1" max="1"/>
    <col width="17" customWidth="1" min="2" max="2"/>
    <col width="26" customWidth="1" min="3" max="3"/>
    <col width="24" customWidth="1" min="4" max="4"/>
    <col width="24" customWidth="1" min="5" max="5"/>
    <col width="11" customWidth="1" min="6" max="6"/>
    <col width="18" customWidth="1" min="7" max="7"/>
    <col width="20" customWidth="1" min="8" max="8"/>
    <col width="26" customWidth="1" min="9" max="9"/>
    <col width="24" customWidth="1" min="10" max="10"/>
    <col width="27" customWidth="1" min="11" max="11"/>
  </cols>
  <sheetData>
    <row r="1">
      <c r="A1" s="9">
        <f>== IBD RELATIVE STRENGTH LEADERS &amp; LAGGARDS ===</f>
        <v/>
      </c>
    </row>
    <row r="2">
      <c r="A2" s="10" t="inlineStr">
        <is>
          <t>Top 10 - Rank</t>
        </is>
      </c>
      <c r="B2" s="10" t="inlineStr">
        <is>
          <t>Top 10 - Ticker</t>
        </is>
      </c>
      <c r="C2" s="10" t="inlineStr">
        <is>
          <t>Top 10 - Fund Name</t>
        </is>
      </c>
      <c r="D2" s="10" t="inlineStr">
        <is>
          <t>Top 10 - Sector</t>
        </is>
      </c>
      <c r="E2" s="10" t="inlineStr">
        <is>
          <t>Top 10 - IBD_RS_Rating</t>
        </is>
      </c>
      <c r="F2" t="inlineStr"/>
      <c r="G2" s="10" t="inlineStr">
        <is>
          <t>Bottom 10 - Rank</t>
        </is>
      </c>
      <c r="H2" s="10" t="inlineStr">
        <is>
          <t>Bottom 10 - Ticker</t>
        </is>
      </c>
      <c r="I2" s="10" t="inlineStr">
        <is>
          <t>Bottom 10 - Fund Name</t>
        </is>
      </c>
      <c r="J2" s="10" t="inlineStr">
        <is>
          <t>Bottom 10 - Sector</t>
        </is>
      </c>
      <c r="K2" s="10" t="inlineStr">
        <is>
          <t>Bottom 10 - IBD_RS_Rating</t>
        </is>
      </c>
    </row>
    <row r="3">
      <c r="A3" t="n">
        <v>1</v>
      </c>
      <c r="B3" t="inlineStr">
        <is>
          <t>FSENX</t>
        </is>
      </c>
      <c r="C3" t="inlineStr">
        <is>
          <t>Energy</t>
        </is>
      </c>
      <c r="D3" t="inlineStr">
        <is>
          <t>Energy</t>
        </is>
      </c>
      <c r="E3" t="n">
        <v>99</v>
      </c>
      <c r="F3" t="inlineStr"/>
      <c r="G3" t="n">
        <v>24</v>
      </c>
      <c r="H3" t="inlineStr">
        <is>
          <t>FSHOX</t>
        </is>
      </c>
      <c r="I3" t="inlineStr">
        <is>
          <t>Construction &amp; Housing</t>
        </is>
      </c>
      <c r="J3" t="inlineStr">
        <is>
          <t>Consumer Discretionary</t>
        </is>
      </c>
      <c r="K3" t="n">
        <v>4</v>
      </c>
    </row>
    <row r="4">
      <c r="A4" t="n">
        <v>2</v>
      </c>
      <c r="B4" t="inlineStr">
        <is>
          <t>FDCPX</t>
        </is>
      </c>
      <c r="C4" t="inlineStr">
        <is>
          <t>Tech Hardware</t>
        </is>
      </c>
      <c r="D4" t="inlineStr">
        <is>
          <t>Information Technology</t>
        </is>
      </c>
      <c r="E4" t="n">
        <v>96</v>
      </c>
      <c r="F4" t="inlineStr"/>
      <c r="G4" t="n">
        <v>25</v>
      </c>
      <c r="H4" t="inlineStr">
        <is>
          <t>FSLBX</t>
        </is>
      </c>
      <c r="I4" t="inlineStr">
        <is>
          <t>Brokerage &amp; Inv Mgmt</t>
        </is>
      </c>
      <c r="J4" t="inlineStr">
        <is>
          <t>Financials</t>
        </is>
      </c>
      <c r="K4" t="n">
        <v>7</v>
      </c>
    </row>
    <row r="5">
      <c r="A5" t="n">
        <v>3</v>
      </c>
      <c r="B5" t="inlineStr">
        <is>
          <t>FSPTX</t>
        </is>
      </c>
      <c r="C5" t="inlineStr">
        <is>
          <t>Technology</t>
        </is>
      </c>
      <c r="D5" t="inlineStr">
        <is>
          <t>Information Technology</t>
        </is>
      </c>
      <c r="E5" t="n">
        <v>93</v>
      </c>
      <c r="F5" t="inlineStr"/>
      <c r="G5" t="n">
        <v>26</v>
      </c>
      <c r="H5" t="inlineStr">
        <is>
          <t>FSDAX</t>
        </is>
      </c>
      <c r="I5" t="inlineStr">
        <is>
          <t>Defense and Aerospace</t>
        </is>
      </c>
      <c r="J5" t="inlineStr">
        <is>
          <t>Industrials</t>
        </is>
      </c>
      <c r="K5" t="n">
        <v>10</v>
      </c>
    </row>
    <row r="6">
      <c r="A6" t="n">
        <v>4</v>
      </c>
      <c r="B6" t="inlineStr">
        <is>
          <t>FSCSX</t>
        </is>
      </c>
      <c r="C6" t="inlineStr">
        <is>
          <t>Software &amp; IT Services</t>
        </is>
      </c>
      <c r="D6" t="inlineStr">
        <is>
          <t>Information Technology</t>
        </is>
      </c>
      <c r="E6" t="n">
        <v>90</v>
      </c>
      <c r="F6" t="inlineStr"/>
      <c r="G6" t="n">
        <v>27</v>
      </c>
      <c r="H6" t="inlineStr">
        <is>
          <t>FSUTX</t>
        </is>
      </c>
      <c r="I6" t="inlineStr">
        <is>
          <t>Utilities</t>
        </is>
      </c>
      <c r="J6" t="inlineStr">
        <is>
          <t>Utilities</t>
        </is>
      </c>
      <c r="K6" t="n">
        <v>13</v>
      </c>
    </row>
    <row r="7">
      <c r="A7" t="n">
        <v>5</v>
      </c>
      <c r="B7" t="inlineStr">
        <is>
          <t>FSELX</t>
        </is>
      </c>
      <c r="C7" t="inlineStr">
        <is>
          <t>Semiconductors</t>
        </is>
      </c>
      <c r="D7" t="inlineStr">
        <is>
          <t>Information Technology</t>
        </is>
      </c>
      <c r="E7" t="n">
        <v>87</v>
      </c>
      <c r="F7" t="inlineStr"/>
      <c r="G7" t="n">
        <v>28</v>
      </c>
      <c r="H7" t="inlineStr">
        <is>
          <t>FSAVX</t>
        </is>
      </c>
      <c r="I7" t="inlineStr">
        <is>
          <t>Automotive</t>
        </is>
      </c>
      <c r="J7" t="inlineStr">
        <is>
          <t>Consumer Discretionary</t>
        </is>
      </c>
      <c r="K7" t="n">
        <v>16</v>
      </c>
    </row>
    <row r="8">
      <c r="A8" t="n">
        <v>6</v>
      </c>
      <c r="B8" t="inlineStr">
        <is>
          <t>FSMEX</t>
        </is>
      </c>
      <c r="C8" t="inlineStr">
        <is>
          <t>Medical Tech &amp; Devices</t>
        </is>
      </c>
      <c r="D8" t="inlineStr">
        <is>
          <t>Health Care</t>
        </is>
      </c>
      <c r="E8" t="n">
        <v>84</v>
      </c>
      <c r="F8" t="inlineStr"/>
      <c r="G8" t="n">
        <v>29</v>
      </c>
      <c r="H8" t="inlineStr">
        <is>
          <t>FSCPX</t>
        </is>
      </c>
      <c r="I8" t="inlineStr">
        <is>
          <t>Consumer Discretionary</t>
        </is>
      </c>
      <c r="J8" t="inlineStr">
        <is>
          <t>Consumer Discretionary</t>
        </is>
      </c>
      <c r="K8" t="n">
        <v>19</v>
      </c>
    </row>
    <row r="9">
      <c r="A9" t="n">
        <v>7</v>
      </c>
      <c r="B9" t="inlineStr">
        <is>
          <t>FBSOX</t>
        </is>
      </c>
      <c r="C9" t="inlineStr">
        <is>
          <t>Enterprise Tech Services</t>
        </is>
      </c>
      <c r="D9" t="inlineStr">
        <is>
          <t>Information Technology</t>
        </is>
      </c>
      <c r="E9" t="n">
        <v>81</v>
      </c>
      <c r="F9" t="inlineStr"/>
      <c r="G9" t="n">
        <v>30</v>
      </c>
      <c r="H9" t="inlineStr">
        <is>
          <t>FIDRX</t>
        </is>
      </c>
      <c r="I9" t="inlineStr">
        <is>
          <t>Industrials</t>
        </is>
      </c>
      <c r="J9" t="inlineStr">
        <is>
          <t>Industrials</t>
        </is>
      </c>
      <c r="K9" t="n">
        <v>22</v>
      </c>
    </row>
    <row r="10">
      <c r="A10" t="n">
        <v>8</v>
      </c>
      <c r="B10" t="inlineStr">
        <is>
          <t>FPHAX</t>
        </is>
      </c>
      <c r="C10" t="inlineStr">
        <is>
          <t>Pharmaceuticals</t>
        </is>
      </c>
      <c r="D10" t="inlineStr">
        <is>
          <t>Health Care</t>
        </is>
      </c>
      <c r="E10" t="n">
        <v>78</v>
      </c>
      <c r="F10" t="inlineStr"/>
      <c r="G10" t="n">
        <v>31</v>
      </c>
      <c r="H10" t="inlineStr">
        <is>
          <t>FDLSX</t>
        </is>
      </c>
      <c r="I10" t="inlineStr">
        <is>
          <t>Leisure</t>
        </is>
      </c>
      <c r="J10" t="inlineStr">
        <is>
          <t>Consumer Discretionary</t>
        </is>
      </c>
      <c r="K10" t="n">
        <v>25</v>
      </c>
    </row>
    <row r="11">
      <c r="A11" t="n">
        <v>9</v>
      </c>
      <c r="B11" t="inlineStr">
        <is>
          <t>FSPHX</t>
        </is>
      </c>
      <c r="C11" t="inlineStr">
        <is>
          <t>Health Care</t>
        </is>
      </c>
      <c r="D11" t="inlineStr">
        <is>
          <t>Health Care</t>
        </is>
      </c>
      <c r="E11" t="n">
        <v>75</v>
      </c>
      <c r="F11" t="inlineStr"/>
      <c r="G11" t="n">
        <v>32</v>
      </c>
      <c r="H11" t="inlineStr">
        <is>
          <t>FSTCX</t>
        </is>
      </c>
      <c r="I11" t="inlineStr">
        <is>
          <t>Telecommunications</t>
        </is>
      </c>
      <c r="J11" t="inlineStr">
        <is>
          <t>Communication Services</t>
        </is>
      </c>
      <c r="K11" t="n">
        <v>28</v>
      </c>
    </row>
    <row r="12">
      <c r="A12" t="n">
        <v>10</v>
      </c>
      <c r="B12" t="inlineStr">
        <is>
          <t>FWRLX</t>
        </is>
      </c>
      <c r="C12" t="inlineStr">
        <is>
          <t>Wireless</t>
        </is>
      </c>
      <c r="D12" t="inlineStr">
        <is>
          <t>Communication Services</t>
        </is>
      </c>
      <c r="E12" t="n">
        <v>72</v>
      </c>
      <c r="F12" t="inlineStr"/>
      <c r="G12" t="n">
        <v>33</v>
      </c>
      <c r="H12" t="inlineStr">
        <is>
          <t>FRESX</t>
        </is>
      </c>
      <c r="I12" t="inlineStr">
        <is>
          <t>Real Estate Investment</t>
        </is>
      </c>
      <c r="J12" t="inlineStr">
        <is>
          <t>Real Estate</t>
        </is>
      </c>
      <c r="K12" t="n">
        <v>31</v>
      </c>
    </row>
    <row r="13"/>
    <row r="14"/>
    <row r="15">
      <c r="A15" s="9">
        <f>== PAST 1 MONTH LEADERS &amp; LAGGARDS ===</f>
        <v/>
      </c>
    </row>
    <row r="16">
      <c r="A16" s="10" t="inlineStr">
        <is>
          <t>Top 10 - Rank</t>
        </is>
      </c>
      <c r="B16" s="10" t="inlineStr">
        <is>
          <t>Top 10 - Ticker</t>
        </is>
      </c>
      <c r="C16" s="10" t="inlineStr">
        <is>
          <t>Top 10 - Fund Name</t>
        </is>
      </c>
      <c r="D16" s="10" t="inlineStr">
        <is>
          <t>Top 10 - Sector</t>
        </is>
      </c>
      <c r="E16" s="10" t="inlineStr">
        <is>
          <t>Top 10 - 1M</t>
        </is>
      </c>
      <c r="F16" t="inlineStr"/>
      <c r="G16" s="10" t="inlineStr">
        <is>
          <t>Bottom 10 - Rank</t>
        </is>
      </c>
      <c r="H16" s="10" t="inlineStr">
        <is>
          <t>Bottom 10 - Ticker</t>
        </is>
      </c>
      <c r="I16" s="10" t="inlineStr">
        <is>
          <t>Bottom 10 - Fund Name</t>
        </is>
      </c>
      <c r="J16" s="10" t="inlineStr">
        <is>
          <t>Bottom 10 - Sector</t>
        </is>
      </c>
      <c r="K16" s="10" t="inlineStr">
        <is>
          <t>Bottom 10 - 1M</t>
        </is>
      </c>
    </row>
    <row r="17">
      <c r="A17" t="n">
        <v>1</v>
      </c>
      <c r="B17" t="inlineStr">
        <is>
          <t>FDFAX</t>
        </is>
      </c>
      <c r="C17" t="inlineStr">
        <is>
          <t>Consumer Staples</t>
        </is>
      </c>
      <c r="D17" t="inlineStr">
        <is>
          <t>Consumer Staples</t>
        </is>
      </c>
      <c r="E17" s="11" t="n">
        <v>0.06647267457653028</v>
      </c>
      <c r="F17" t="inlineStr"/>
      <c r="G17" t="n">
        <v>24</v>
      </c>
      <c r="H17" t="inlineStr">
        <is>
          <t>FSTCX</t>
        </is>
      </c>
      <c r="I17" t="inlineStr">
        <is>
          <t>Telecommunications</t>
        </is>
      </c>
      <c r="J17" t="inlineStr">
        <is>
          <t>Communication Services</t>
        </is>
      </c>
      <c r="K17" s="11" t="n">
        <v>-0.1027058973170286</v>
      </c>
    </row>
    <row r="18">
      <c r="A18" t="n">
        <v>2</v>
      </c>
      <c r="B18" t="inlineStr">
        <is>
          <t>FSVLX</t>
        </is>
      </c>
      <c r="C18" t="inlineStr">
        <is>
          <t>FinTech</t>
        </is>
      </c>
      <c r="D18" t="inlineStr">
        <is>
          <t>Financials</t>
        </is>
      </c>
      <c r="E18" s="11" t="n">
        <v>0.06216057366417682</v>
      </c>
      <c r="F18" t="inlineStr"/>
      <c r="G18" t="n">
        <v>25</v>
      </c>
      <c r="H18" t="inlineStr">
        <is>
          <t>FDCPX</t>
        </is>
      </c>
      <c r="I18" t="inlineStr">
        <is>
          <t>Tech Hardware</t>
        </is>
      </c>
      <c r="J18" t="inlineStr">
        <is>
          <t>Information Technology</t>
        </is>
      </c>
      <c r="K18" s="11" t="n">
        <v>-0.07705260244106371</v>
      </c>
    </row>
    <row r="19">
      <c r="A19" t="n">
        <v>3</v>
      </c>
      <c r="B19" t="inlineStr">
        <is>
          <t>FSRPX</t>
        </is>
      </c>
      <c r="C19" t="inlineStr">
        <is>
          <t>Retailing</t>
        </is>
      </c>
      <c r="D19" t="inlineStr">
        <is>
          <t>Consumer Discretionary</t>
        </is>
      </c>
      <c r="E19" s="11" t="n">
        <v>0.05676331910461951</v>
      </c>
      <c r="F19" t="inlineStr"/>
      <c r="G19" t="n">
        <v>26</v>
      </c>
      <c r="H19" t="inlineStr">
        <is>
          <t>FSAGX</t>
        </is>
      </c>
      <c r="I19" t="inlineStr">
        <is>
          <t>Gold</t>
        </is>
      </c>
      <c r="J19" t="inlineStr">
        <is>
          <t>Materials</t>
        </is>
      </c>
      <c r="K19" s="11" t="n">
        <v>-0.06047020477359832</v>
      </c>
    </row>
    <row r="20">
      <c r="A20" t="n">
        <v>4</v>
      </c>
      <c r="B20" t="inlineStr">
        <is>
          <t>FSMEX</t>
        </is>
      </c>
      <c r="C20" t="inlineStr">
        <is>
          <t>Medical Tech &amp; Devices</t>
        </is>
      </c>
      <c r="D20" t="inlineStr">
        <is>
          <t>Health Care</t>
        </is>
      </c>
      <c r="E20" s="11" t="n">
        <v>0.04968362645241897</v>
      </c>
      <c r="F20" t="inlineStr"/>
      <c r="G20" t="n">
        <v>27</v>
      </c>
      <c r="H20" t="inlineStr">
        <is>
          <t>FBIOX</t>
        </is>
      </c>
      <c r="I20" t="inlineStr">
        <is>
          <t>Biotechnology</t>
        </is>
      </c>
      <c r="J20" t="inlineStr">
        <is>
          <t>Health Care</t>
        </is>
      </c>
      <c r="K20" s="11" t="n">
        <v>-0.05823224550994599</v>
      </c>
    </row>
    <row r="21">
      <c r="A21" t="n">
        <v>5</v>
      </c>
      <c r="B21" t="inlineStr">
        <is>
          <t>FSENX</t>
        </is>
      </c>
      <c r="C21" t="inlineStr">
        <is>
          <t>Energy</t>
        </is>
      </c>
      <c r="D21" t="inlineStr">
        <is>
          <t>Energy</t>
        </is>
      </c>
      <c r="E21" s="11" t="n">
        <v>0.04792297910186405</v>
      </c>
      <c r="F21" t="inlineStr"/>
      <c r="G21" t="n">
        <v>28</v>
      </c>
      <c r="H21" t="inlineStr">
        <is>
          <t>FSRBX</t>
        </is>
      </c>
      <c r="I21" t="inlineStr">
        <is>
          <t>Banking</t>
        </is>
      </c>
      <c r="J21" t="inlineStr">
        <is>
          <t>Financials</t>
        </is>
      </c>
      <c r="K21" s="11" t="n">
        <v>-0.03954493924381375</v>
      </c>
    </row>
    <row r="22">
      <c r="A22" t="n">
        <v>6</v>
      </c>
      <c r="B22" t="inlineStr">
        <is>
          <t>FSHCX</t>
        </is>
      </c>
      <c r="C22" t="inlineStr">
        <is>
          <t>Health Care Services</t>
        </is>
      </c>
      <c r="D22" t="inlineStr">
        <is>
          <t>Health Care</t>
        </is>
      </c>
      <c r="E22" s="11" t="n">
        <v>0.04254183589884653</v>
      </c>
      <c r="F22" t="inlineStr"/>
      <c r="G22" t="n">
        <v>29</v>
      </c>
      <c r="H22" t="inlineStr">
        <is>
          <t>FSLBX</t>
        </is>
      </c>
      <c r="I22" t="inlineStr">
        <is>
          <t>Brokerage &amp; Inv Mgmt</t>
        </is>
      </c>
      <c r="J22" t="inlineStr">
        <is>
          <t>Financials</t>
        </is>
      </c>
      <c r="K22" s="11" t="n">
        <v>-0.03809412069386131</v>
      </c>
    </row>
    <row r="23">
      <c r="A23" t="n">
        <v>7</v>
      </c>
      <c r="B23" t="inlineStr">
        <is>
          <t>FBSOX</t>
        </is>
      </c>
      <c r="C23" t="inlineStr">
        <is>
          <t>Enterprise Tech Services</t>
        </is>
      </c>
      <c r="D23" t="inlineStr">
        <is>
          <t>Information Technology</t>
        </is>
      </c>
      <c r="E23" s="11" t="n">
        <v>0.04034769357930168</v>
      </c>
      <c r="F23" t="inlineStr"/>
      <c r="G23" t="n">
        <v>30</v>
      </c>
      <c r="H23" t="inlineStr">
        <is>
          <t>FWRLX</t>
        </is>
      </c>
      <c r="I23" t="inlineStr">
        <is>
          <t>Wireless</t>
        </is>
      </c>
      <c r="J23" t="inlineStr">
        <is>
          <t>Communication Services</t>
        </is>
      </c>
      <c r="K23" s="11" t="n">
        <v>-0.03379723152583081</v>
      </c>
    </row>
    <row r="24">
      <c r="A24" t="n">
        <v>8</v>
      </c>
      <c r="B24" t="inlineStr">
        <is>
          <t>FDLSX</t>
        </is>
      </c>
      <c r="C24" t="inlineStr">
        <is>
          <t>Leisure</t>
        </is>
      </c>
      <c r="D24" t="inlineStr">
        <is>
          <t>Consumer Discretionary</t>
        </is>
      </c>
      <c r="E24" s="11" t="n">
        <v>0.0349288460880075</v>
      </c>
      <c r="F24" t="inlineStr"/>
      <c r="G24" t="n">
        <v>31</v>
      </c>
      <c r="H24" t="inlineStr">
        <is>
          <t>FSDAX</t>
        </is>
      </c>
      <c r="I24" t="inlineStr">
        <is>
          <t>Defense and Aerospace</t>
        </is>
      </c>
      <c r="J24" t="inlineStr">
        <is>
          <t>Industrials</t>
        </is>
      </c>
      <c r="K24" s="11" t="n">
        <v>-0.029513240830215</v>
      </c>
    </row>
    <row r="25">
      <c r="A25" t="n">
        <v>9</v>
      </c>
      <c r="B25" t="inlineStr">
        <is>
          <t>FPHAX</t>
        </is>
      </c>
      <c r="C25" t="inlineStr">
        <is>
          <t>Pharmaceuticals</t>
        </is>
      </c>
      <c r="D25" t="inlineStr">
        <is>
          <t>Health Care</t>
        </is>
      </c>
      <c r="E25" s="11" t="n">
        <v>0.02808657331484232</v>
      </c>
      <c r="F25" t="inlineStr"/>
      <c r="G25" t="n">
        <v>32</v>
      </c>
      <c r="H25" t="inlineStr">
        <is>
          <t>FIDSX</t>
        </is>
      </c>
      <c r="I25" t="inlineStr">
        <is>
          <t>Financials</t>
        </is>
      </c>
      <c r="J25" t="inlineStr">
        <is>
          <t>Financials</t>
        </is>
      </c>
      <c r="K25" s="11" t="n">
        <v>-0.02653295282325852</v>
      </c>
    </row>
    <row r="26">
      <c r="A26" t="n">
        <v>10</v>
      </c>
      <c r="B26" t="inlineStr">
        <is>
          <t>FSUTX</t>
        </is>
      </c>
      <c r="C26" t="inlineStr">
        <is>
          <t>Utilities</t>
        </is>
      </c>
      <c r="D26" t="inlineStr">
        <is>
          <t>Utilities</t>
        </is>
      </c>
      <c r="E26" s="11" t="n">
        <v>0.02803384294857736</v>
      </c>
      <c r="F26" t="inlineStr"/>
      <c r="G26" t="n">
        <v>33</v>
      </c>
      <c r="H26" t="inlineStr">
        <is>
          <t>FSAVX</t>
        </is>
      </c>
      <c r="I26" t="inlineStr">
        <is>
          <t>Automotive</t>
        </is>
      </c>
      <c r="J26" t="inlineStr">
        <is>
          <t>Consumer Discretionary</t>
        </is>
      </c>
      <c r="K26" s="11" t="n">
        <v>-0.01891431852095082</v>
      </c>
    </row>
    <row r="27"/>
    <row r="28"/>
    <row r="29">
      <c r="A29" s="9">
        <f>== PAST 3 MONTHS LEADERS &amp; LAGGARDS ===</f>
        <v/>
      </c>
    </row>
    <row r="30">
      <c r="A30" s="10" t="inlineStr">
        <is>
          <t>Top 10 - Rank</t>
        </is>
      </c>
      <c r="B30" s="10" t="inlineStr">
        <is>
          <t>Top 10 - Ticker</t>
        </is>
      </c>
      <c r="C30" s="10" t="inlineStr">
        <is>
          <t>Top 10 - Fund Name</t>
        </is>
      </c>
      <c r="D30" s="10" t="inlineStr">
        <is>
          <t>Top 10 - Sector</t>
        </is>
      </c>
      <c r="E30" s="10" t="inlineStr">
        <is>
          <t>Top 10 - 3M</t>
        </is>
      </c>
      <c r="F30" t="inlineStr"/>
      <c r="G30" s="10" t="inlineStr">
        <is>
          <t>Bottom 10 - Rank</t>
        </is>
      </c>
      <c r="H30" s="10" t="inlineStr">
        <is>
          <t>Bottom 10 - Ticker</t>
        </is>
      </c>
      <c r="I30" s="10" t="inlineStr">
        <is>
          <t>Bottom 10 - Fund Name</t>
        </is>
      </c>
      <c r="J30" s="10" t="inlineStr">
        <is>
          <t>Bottom 10 - Sector</t>
        </is>
      </c>
      <c r="K30" s="10" t="inlineStr">
        <is>
          <t>Bottom 10 - 3M</t>
        </is>
      </c>
    </row>
    <row r="31">
      <c r="A31" t="n">
        <v>1</v>
      </c>
      <c r="B31" t="inlineStr">
        <is>
          <t>FSAGX</t>
        </is>
      </c>
      <c r="C31" t="inlineStr">
        <is>
          <t>Gold</t>
        </is>
      </c>
      <c r="D31" t="inlineStr">
        <is>
          <t>Materials</t>
        </is>
      </c>
      <c r="E31" s="11" t="n">
        <v>0.2453874850399425</v>
      </c>
      <c r="F31" t="inlineStr"/>
      <c r="G31" t="n">
        <v>24</v>
      </c>
      <c r="H31" t="inlineStr">
        <is>
          <t>FSHOX</t>
        </is>
      </c>
      <c r="I31" t="inlineStr">
        <is>
          <t>Construction &amp; Housing</t>
        </is>
      </c>
      <c r="J31" t="inlineStr">
        <is>
          <t>Consumer Discretionary</t>
        </is>
      </c>
      <c r="K31" s="11" t="n">
        <v>-0.1119923347902708</v>
      </c>
    </row>
    <row r="32">
      <c r="A32" t="n">
        <v>2</v>
      </c>
      <c r="B32" t="inlineStr">
        <is>
          <t>FSENX</t>
        </is>
      </c>
      <c r="C32" t="inlineStr">
        <is>
          <t>Energy</t>
        </is>
      </c>
      <c r="D32" t="inlineStr">
        <is>
          <t>Energy</t>
        </is>
      </c>
      <c r="E32" s="11" t="n">
        <v>0.1766063475300796</v>
      </c>
      <c r="F32" t="inlineStr"/>
      <c r="G32" t="n">
        <v>25</v>
      </c>
      <c r="H32" t="inlineStr">
        <is>
          <t>FSRFX</t>
        </is>
      </c>
      <c r="I32" t="inlineStr">
        <is>
          <t>Transportation</t>
        </is>
      </c>
      <c r="J32" t="inlineStr">
        <is>
          <t>Industrials</t>
        </is>
      </c>
      <c r="K32" s="11" t="n">
        <v>-0.1104198167887779</v>
      </c>
    </row>
    <row r="33">
      <c r="A33" t="n">
        <v>3</v>
      </c>
      <c r="B33" t="inlineStr">
        <is>
          <t>FSCSX</t>
        </is>
      </c>
      <c r="C33" t="inlineStr">
        <is>
          <t>Software &amp; IT Services</t>
        </is>
      </c>
      <c r="D33" t="inlineStr">
        <is>
          <t>Information Technology</t>
        </is>
      </c>
      <c r="E33" s="11" t="n">
        <v>0.1646548481654639</v>
      </c>
      <c r="F33" t="inlineStr"/>
      <c r="G33" t="n">
        <v>26</v>
      </c>
      <c r="H33" t="inlineStr">
        <is>
          <t>FSDAX</t>
        </is>
      </c>
      <c r="I33" t="inlineStr">
        <is>
          <t>Defense and Aerospace</t>
        </is>
      </c>
      <c r="J33" t="inlineStr">
        <is>
          <t>Industrials</t>
        </is>
      </c>
      <c r="K33" s="11" t="n">
        <v>-0.104033988331427</v>
      </c>
    </row>
    <row r="34">
      <c r="A34" t="n">
        <v>4</v>
      </c>
      <c r="B34" t="inlineStr">
        <is>
          <t>FSMEX</t>
        </is>
      </c>
      <c r="C34" t="inlineStr">
        <is>
          <t>Medical Tech &amp; Devices</t>
        </is>
      </c>
      <c r="D34" t="inlineStr">
        <is>
          <t>Health Care</t>
        </is>
      </c>
      <c r="E34" s="11" t="n">
        <v>0.1568909308698754</v>
      </c>
      <c r="F34" t="inlineStr"/>
      <c r="G34" t="n">
        <v>27</v>
      </c>
      <c r="H34" t="inlineStr">
        <is>
          <t>FSRBX</t>
        </is>
      </c>
      <c r="I34" t="inlineStr">
        <is>
          <t>Banking</t>
        </is>
      </c>
      <c r="J34" t="inlineStr">
        <is>
          <t>Financials</t>
        </is>
      </c>
      <c r="K34" s="11" t="n">
        <v>-0.1020512135402524</v>
      </c>
    </row>
    <row r="35">
      <c r="A35" t="n">
        <v>5</v>
      </c>
      <c r="B35" t="inlineStr">
        <is>
          <t>FBSOX</t>
        </is>
      </c>
      <c r="C35" t="inlineStr">
        <is>
          <t>Enterprise Tech Services</t>
        </is>
      </c>
      <c r="D35" t="inlineStr">
        <is>
          <t>Information Technology</t>
        </is>
      </c>
      <c r="E35" s="11" t="n">
        <v>0.1109259708068953</v>
      </c>
      <c r="F35" t="inlineStr"/>
      <c r="G35" t="n">
        <v>28</v>
      </c>
      <c r="H35" t="inlineStr">
        <is>
          <t>FIDRX</t>
        </is>
      </c>
      <c r="I35" t="inlineStr">
        <is>
          <t>Industrials</t>
        </is>
      </c>
      <c r="J35" t="inlineStr">
        <is>
          <t>Industrials</t>
        </is>
      </c>
      <c r="K35" s="11" t="n">
        <v>-0.08943313115997764</v>
      </c>
    </row>
    <row r="36">
      <c r="A36" t="n">
        <v>6</v>
      </c>
      <c r="B36" t="inlineStr">
        <is>
          <t>FDFAX</t>
        </is>
      </c>
      <c r="C36" t="inlineStr">
        <is>
          <t>Consumer Staples</t>
        </is>
      </c>
      <c r="D36" t="inlineStr">
        <is>
          <t>Consumer Staples</t>
        </is>
      </c>
      <c r="E36" s="11" t="n">
        <v>0.05395661350665826</v>
      </c>
      <c r="F36" t="inlineStr"/>
      <c r="G36" t="n">
        <v>29</v>
      </c>
      <c r="H36" t="inlineStr">
        <is>
          <t>FSUTX</t>
        </is>
      </c>
      <c r="I36" t="inlineStr">
        <is>
          <t>Utilities</t>
        </is>
      </c>
      <c r="J36" t="inlineStr">
        <is>
          <t>Utilities</t>
        </is>
      </c>
      <c r="K36" s="11" t="n">
        <v>-0.07563458506718534</v>
      </c>
    </row>
    <row r="37">
      <c r="A37" t="n">
        <v>7</v>
      </c>
      <c r="B37" t="inlineStr">
        <is>
          <t>FSPHX</t>
        </is>
      </c>
      <c r="C37" t="inlineStr">
        <is>
          <t>Health Care</t>
        </is>
      </c>
      <c r="D37" t="inlineStr">
        <is>
          <t>Health Care</t>
        </is>
      </c>
      <c r="E37" s="11" t="n">
        <v>0.04319650201332381</v>
      </c>
      <c r="F37" t="inlineStr"/>
      <c r="G37" t="n">
        <v>30</v>
      </c>
      <c r="H37" t="inlineStr">
        <is>
          <t>FRESX</t>
        </is>
      </c>
      <c r="I37" t="inlineStr">
        <is>
          <t>Real Estate Investment</t>
        </is>
      </c>
      <c r="J37" t="inlineStr">
        <is>
          <t>Real Estate</t>
        </is>
      </c>
      <c r="K37" s="11" t="n">
        <v>-0.07503529122692287</v>
      </c>
    </row>
    <row r="38">
      <c r="A38" t="n">
        <v>8</v>
      </c>
      <c r="B38" t="inlineStr">
        <is>
          <t>FSVLX</t>
        </is>
      </c>
      <c r="C38" t="inlineStr">
        <is>
          <t>FinTech</t>
        </is>
      </c>
      <c r="D38" t="inlineStr">
        <is>
          <t>Financials</t>
        </is>
      </c>
      <c r="E38" s="11" t="n">
        <v>0.03286381665813742</v>
      </c>
      <c r="F38" t="inlineStr"/>
      <c r="G38" t="n">
        <v>31</v>
      </c>
      <c r="H38" t="inlineStr">
        <is>
          <t>FSLBX</t>
        </is>
      </c>
      <c r="I38" t="inlineStr">
        <is>
          <t>Brokerage &amp; Inv Mgmt</t>
        </is>
      </c>
      <c r="J38" t="inlineStr">
        <is>
          <t>Financials</t>
        </is>
      </c>
      <c r="K38" s="11" t="n">
        <v>-0.06643531561331462</v>
      </c>
    </row>
    <row r="39">
      <c r="A39" t="n">
        <v>9</v>
      </c>
      <c r="B39" t="inlineStr">
        <is>
          <t>FSPTX</t>
        </is>
      </c>
      <c r="C39" t="inlineStr">
        <is>
          <t>Technology</t>
        </is>
      </c>
      <c r="D39" t="inlineStr">
        <is>
          <t>Information Technology</t>
        </is>
      </c>
      <c r="E39" s="11" t="n">
        <v>0.03139094257511132</v>
      </c>
      <c r="F39" t="inlineStr"/>
      <c r="G39" t="n">
        <v>32</v>
      </c>
      <c r="H39" t="inlineStr">
        <is>
          <t>FSELX</t>
        </is>
      </c>
      <c r="I39" t="inlineStr">
        <is>
          <t>Semiconductors</t>
        </is>
      </c>
      <c r="J39" t="inlineStr">
        <is>
          <t>Information Technology</t>
        </is>
      </c>
      <c r="K39" s="11" t="n">
        <v>-0.06421569046050812</v>
      </c>
    </row>
    <row r="40">
      <c r="A40" t="n">
        <v>10</v>
      </c>
      <c r="B40" t="inlineStr">
        <is>
          <t>FPHAX</t>
        </is>
      </c>
      <c r="C40" t="inlineStr">
        <is>
          <t>Pharmaceuticals</t>
        </is>
      </c>
      <c r="D40" t="inlineStr">
        <is>
          <t>Health Care</t>
        </is>
      </c>
      <c r="E40" s="11" t="n">
        <v>0.02688480818605909</v>
      </c>
      <c r="F40" t="inlineStr"/>
      <c r="G40" t="n">
        <v>33</v>
      </c>
      <c r="H40" t="inlineStr">
        <is>
          <t>FSCPX</t>
        </is>
      </c>
      <c r="I40" t="inlineStr">
        <is>
          <t>Consumer Discretionary</t>
        </is>
      </c>
      <c r="J40" t="inlineStr">
        <is>
          <t>Consumer Discretionary</t>
        </is>
      </c>
      <c r="K40" s="11" t="n">
        <v>-0.05898325227653234</v>
      </c>
    </row>
    <row r="41"/>
    <row r="42"/>
    <row r="43">
      <c r="A43" s="9">
        <f>== PAST 6 MONTHS LEADERS &amp; LAGGARDS ===</f>
        <v/>
      </c>
    </row>
    <row r="44">
      <c r="A44" s="10" t="inlineStr">
        <is>
          <t>Top 10 - Rank</t>
        </is>
      </c>
      <c r="B44" s="10" t="inlineStr">
        <is>
          <t>Top 10 - Ticker</t>
        </is>
      </c>
      <c r="C44" s="10" t="inlineStr">
        <is>
          <t>Top 10 - Fund Name</t>
        </is>
      </c>
      <c r="D44" s="10" t="inlineStr">
        <is>
          <t>Top 10 - Sector</t>
        </is>
      </c>
      <c r="E44" s="10" t="inlineStr">
        <is>
          <t>Top 10 - 6M</t>
        </is>
      </c>
      <c r="F44" t="inlineStr"/>
      <c r="G44" s="10" t="inlineStr">
        <is>
          <t>Bottom 10 - Rank</t>
        </is>
      </c>
      <c r="H44" s="10" t="inlineStr">
        <is>
          <t>Bottom 10 - Ticker</t>
        </is>
      </c>
      <c r="I44" s="10" t="inlineStr">
        <is>
          <t>Bottom 10 - Fund Name</t>
        </is>
      </c>
      <c r="J44" s="10" t="inlineStr">
        <is>
          <t>Bottom 10 - Sector</t>
        </is>
      </c>
      <c r="K44" s="10" t="inlineStr">
        <is>
          <t>Bottom 10 - 6M</t>
        </is>
      </c>
    </row>
    <row r="45">
      <c r="A45" t="n">
        <v>1</v>
      </c>
      <c r="B45" t="inlineStr">
        <is>
          <t>FSCSX</t>
        </is>
      </c>
      <c r="C45" t="inlineStr">
        <is>
          <t>Software &amp; IT Services</t>
        </is>
      </c>
      <c r="D45" t="inlineStr">
        <is>
          <t>Information Technology</t>
        </is>
      </c>
      <c r="E45" s="11" t="n">
        <v>0.3252747158312654</v>
      </c>
      <c r="F45" t="inlineStr"/>
      <c r="G45" t="n">
        <v>24</v>
      </c>
      <c r="H45" t="inlineStr">
        <is>
          <t>FSUTX</t>
        </is>
      </c>
      <c r="I45" t="inlineStr">
        <is>
          <t>Utilities</t>
        </is>
      </c>
      <c r="J45" t="inlineStr">
        <is>
          <t>Utilities</t>
        </is>
      </c>
      <c r="K45" s="11" t="n">
        <v>-0.1065962600910076</v>
      </c>
    </row>
    <row r="46">
      <c r="A46" t="n">
        <v>2</v>
      </c>
      <c r="B46" t="inlineStr">
        <is>
          <t>FBSOX</t>
        </is>
      </c>
      <c r="C46" t="inlineStr">
        <is>
          <t>Enterprise Tech Services</t>
        </is>
      </c>
      <c r="D46" t="inlineStr">
        <is>
          <t>Information Technology</t>
        </is>
      </c>
      <c r="E46" s="11" t="n">
        <v>0.2623748073562466</v>
      </c>
      <c r="F46" t="inlineStr"/>
      <c r="G46" t="n">
        <v>25</v>
      </c>
      <c r="H46" t="inlineStr">
        <is>
          <t>FSTCX</t>
        </is>
      </c>
      <c r="I46" t="inlineStr">
        <is>
          <t>Telecommunications</t>
        </is>
      </c>
      <c r="J46" t="inlineStr">
        <is>
          <t>Communication Services</t>
        </is>
      </c>
      <c r="K46" s="11" t="n">
        <v>-0.09487093134917335</v>
      </c>
    </row>
    <row r="47">
      <c r="A47" t="n">
        <v>3</v>
      </c>
      <c r="B47" t="inlineStr">
        <is>
          <t>FSPTX</t>
        </is>
      </c>
      <c r="C47" t="inlineStr">
        <is>
          <t>Technology</t>
        </is>
      </c>
      <c r="D47" t="inlineStr">
        <is>
          <t>Information Technology</t>
        </is>
      </c>
      <c r="E47" s="11" t="n">
        <v>0.2533120251668952</v>
      </c>
      <c r="F47" t="inlineStr"/>
      <c r="G47" t="n">
        <v>26</v>
      </c>
      <c r="H47" t="inlineStr">
        <is>
          <t>FSHOX</t>
        </is>
      </c>
      <c r="I47" t="inlineStr">
        <is>
          <t>Construction &amp; Housing</t>
        </is>
      </c>
      <c r="J47" t="inlineStr">
        <is>
          <t>Consumer Discretionary</t>
        </is>
      </c>
      <c r="K47" s="11" t="n">
        <v>-0.08675233990417941</v>
      </c>
    </row>
    <row r="48">
      <c r="A48" t="n">
        <v>4</v>
      </c>
      <c r="B48" t="inlineStr">
        <is>
          <t>FSMEX</t>
        </is>
      </c>
      <c r="C48" t="inlineStr">
        <is>
          <t>Medical Tech &amp; Devices</t>
        </is>
      </c>
      <c r="D48" t="inlineStr">
        <is>
          <t>Health Care</t>
        </is>
      </c>
      <c r="E48" s="11" t="n">
        <v>0.2493908735546606</v>
      </c>
      <c r="F48" t="inlineStr"/>
      <c r="G48" t="n">
        <v>27</v>
      </c>
      <c r="H48" t="inlineStr">
        <is>
          <t>FSAGX</t>
        </is>
      </c>
      <c r="I48" t="inlineStr">
        <is>
          <t>Gold</t>
        </is>
      </c>
      <c r="J48" t="inlineStr">
        <is>
          <t>Materials</t>
        </is>
      </c>
      <c r="K48" s="11" t="n">
        <v>-0.08301886792452828</v>
      </c>
    </row>
    <row r="49">
      <c r="A49" t="n">
        <v>5</v>
      </c>
      <c r="B49" t="inlineStr">
        <is>
          <t>FSENX</t>
        </is>
      </c>
      <c r="C49" t="inlineStr">
        <is>
          <t>Energy</t>
        </is>
      </c>
      <c r="D49" t="inlineStr">
        <is>
          <t>Energy</t>
        </is>
      </c>
      <c r="E49" s="11" t="n">
        <v>0.1953356571103104</v>
      </c>
      <c r="F49" t="inlineStr"/>
      <c r="G49" t="n">
        <v>28</v>
      </c>
      <c r="H49" t="inlineStr">
        <is>
          <t>FSDAX</t>
        </is>
      </c>
      <c r="I49" t="inlineStr">
        <is>
          <t>Defense and Aerospace</t>
        </is>
      </c>
      <c r="J49" t="inlineStr">
        <is>
          <t>Industrials</t>
        </is>
      </c>
      <c r="K49" s="11" t="n">
        <v>-0.06568268123946697</v>
      </c>
    </row>
    <row r="50">
      <c r="A50" t="n">
        <v>6</v>
      </c>
      <c r="B50" t="inlineStr">
        <is>
          <t>FSHCX</t>
        </is>
      </c>
      <c r="C50" t="inlineStr">
        <is>
          <t>Health Care Services</t>
        </is>
      </c>
      <c r="D50" t="inlineStr">
        <is>
          <t>Health Care</t>
        </is>
      </c>
      <c r="E50" s="11" t="n">
        <v>0.1885419400076902</v>
      </c>
      <c r="F50" t="inlineStr"/>
      <c r="G50" t="n">
        <v>29</v>
      </c>
      <c r="H50" t="inlineStr">
        <is>
          <t>FSAVX</t>
        </is>
      </c>
      <c r="I50" t="inlineStr">
        <is>
          <t>Automotive</t>
        </is>
      </c>
      <c r="J50" t="inlineStr">
        <is>
          <t>Consumer Discretionary</t>
        </is>
      </c>
      <c r="K50" s="11" t="n">
        <v>-0.06473134172108197</v>
      </c>
    </row>
    <row r="51">
      <c r="A51" t="n">
        <v>7</v>
      </c>
      <c r="B51" t="inlineStr">
        <is>
          <t>FSPHX</t>
        </is>
      </c>
      <c r="C51" t="inlineStr">
        <is>
          <t>Health Care</t>
        </is>
      </c>
      <c r="D51" t="inlineStr">
        <is>
          <t>Health Care</t>
        </is>
      </c>
      <c r="E51" s="11" t="n">
        <v>0.1804480832116799</v>
      </c>
      <c r="F51" t="inlineStr"/>
      <c r="G51" t="n">
        <v>30</v>
      </c>
      <c r="H51" t="inlineStr">
        <is>
          <t>FSDPX</t>
        </is>
      </c>
      <c r="I51" t="inlineStr">
        <is>
          <t>Materials</t>
        </is>
      </c>
      <c r="J51" t="inlineStr">
        <is>
          <t>Materials</t>
        </is>
      </c>
      <c r="K51" s="11" t="n">
        <v>-0.05579688178039544</v>
      </c>
    </row>
    <row r="52">
      <c r="A52" t="n">
        <v>8</v>
      </c>
      <c r="B52" t="inlineStr">
        <is>
          <t>FDCPX</t>
        </is>
      </c>
      <c r="C52" t="inlineStr">
        <is>
          <t>Tech Hardware</t>
        </is>
      </c>
      <c r="D52" t="inlineStr">
        <is>
          <t>Information Technology</t>
        </is>
      </c>
      <c r="E52" s="11" t="n">
        <v>0.1635720660086335</v>
      </c>
      <c r="F52" t="inlineStr"/>
      <c r="G52" t="n">
        <v>31</v>
      </c>
      <c r="H52" t="inlineStr">
        <is>
          <t>FSCPX</t>
        </is>
      </c>
      <c r="I52" t="inlineStr">
        <is>
          <t>Consumer Discretionary</t>
        </is>
      </c>
      <c r="J52" t="inlineStr">
        <is>
          <t>Consumer Discretionary</t>
        </is>
      </c>
      <c r="K52" s="11" t="n">
        <v>-0.04500916473430328</v>
      </c>
    </row>
    <row r="53">
      <c r="A53" t="n">
        <v>9</v>
      </c>
      <c r="B53" t="inlineStr">
        <is>
          <t>FPHAX</t>
        </is>
      </c>
      <c r="C53" t="inlineStr">
        <is>
          <t>Pharmaceuticals</t>
        </is>
      </c>
      <c r="D53" t="inlineStr">
        <is>
          <t>Health Care</t>
        </is>
      </c>
      <c r="E53" s="11" t="n">
        <v>0.1446253588393678</v>
      </c>
      <c r="F53" t="inlineStr"/>
      <c r="G53" t="n">
        <v>32</v>
      </c>
      <c r="H53" t="inlineStr">
        <is>
          <t>FIDRX</t>
        </is>
      </c>
      <c r="I53" t="inlineStr">
        <is>
          <t>Industrials</t>
        </is>
      </c>
      <c r="J53" t="inlineStr">
        <is>
          <t>Industrials</t>
        </is>
      </c>
      <c r="K53" s="11" t="n">
        <v>-0.02647841957739805</v>
      </c>
    </row>
    <row r="54">
      <c r="A54" t="n">
        <v>10</v>
      </c>
      <c r="B54" t="inlineStr">
        <is>
          <t>FDFAX</t>
        </is>
      </c>
      <c r="C54" t="inlineStr">
        <is>
          <t>Consumer Staples</t>
        </is>
      </c>
      <c r="D54" t="inlineStr">
        <is>
          <t>Consumer Staples</t>
        </is>
      </c>
      <c r="E54" s="11" t="n">
        <v>0.1234820124785441</v>
      </c>
      <c r="F54" t="inlineStr"/>
      <c r="G54" t="n">
        <v>33</v>
      </c>
      <c r="H54" t="inlineStr">
        <is>
          <t>FSCHX</t>
        </is>
      </c>
      <c r="I54" t="inlineStr">
        <is>
          <t>Chemicals</t>
        </is>
      </c>
      <c r="J54" t="inlineStr">
        <is>
          <t>Materials</t>
        </is>
      </c>
      <c r="K54" s="11" t="n">
        <v>-0.0256959746231421</v>
      </c>
    </row>
    <row r="55"/>
    <row r="56"/>
    <row r="57">
      <c r="A57" s="9">
        <f>== PAST 1 YEAR LEADERS &amp; LAGGARDS ===</f>
        <v/>
      </c>
    </row>
    <row r="58">
      <c r="A58" s="10" t="inlineStr">
        <is>
          <t>Top 10 - Rank</t>
        </is>
      </c>
      <c r="B58" s="10" t="inlineStr">
        <is>
          <t>Top 10 - Ticker</t>
        </is>
      </c>
      <c r="C58" s="10" t="inlineStr">
        <is>
          <t>Top 10 - Fund Name</t>
        </is>
      </c>
      <c r="D58" s="10" t="inlineStr">
        <is>
          <t>Top 10 - Sector</t>
        </is>
      </c>
      <c r="E58" s="10" t="inlineStr">
        <is>
          <t>Top 10 - 1Y</t>
        </is>
      </c>
      <c r="F58" t="inlineStr"/>
      <c r="G58" s="10" t="inlineStr">
        <is>
          <t>Bottom 10 - Rank</t>
        </is>
      </c>
      <c r="H58" s="10" t="inlineStr">
        <is>
          <t>Bottom 10 - Ticker</t>
        </is>
      </c>
      <c r="I58" s="10" t="inlineStr">
        <is>
          <t>Bottom 10 - Fund Name</t>
        </is>
      </c>
      <c r="J58" s="10" t="inlineStr">
        <is>
          <t>Bottom 10 - Sector</t>
        </is>
      </c>
      <c r="K58" s="10" t="inlineStr">
        <is>
          <t>Bottom 10 - 1Y</t>
        </is>
      </c>
    </row>
    <row r="59">
      <c r="A59" t="n">
        <v>1</v>
      </c>
      <c r="B59" t="inlineStr">
        <is>
          <t>FSENX</t>
        </is>
      </c>
      <c r="C59" t="inlineStr">
        <is>
          <t>Energy</t>
        </is>
      </c>
      <c r="D59" t="inlineStr">
        <is>
          <t>Energy</t>
        </is>
      </c>
      <c r="E59" s="11" t="n">
        <v>0.6676250156131198</v>
      </c>
      <c r="F59" t="inlineStr"/>
      <c r="G59" t="n">
        <v>23</v>
      </c>
      <c r="H59" t="inlineStr">
        <is>
          <t>FSLBX</t>
        </is>
      </c>
      <c r="I59" t="inlineStr">
        <is>
          <t>Brokerage &amp; Inv Mgmt</t>
        </is>
      </c>
      <c r="J59" t="inlineStr">
        <is>
          <t>Financials</t>
        </is>
      </c>
      <c r="K59" s="11" t="n">
        <v>-0.09774161616827581</v>
      </c>
    </row>
    <row r="60">
      <c r="A60" t="n">
        <v>2</v>
      </c>
      <c r="B60" t="inlineStr">
        <is>
          <t>FDCPX</t>
        </is>
      </c>
      <c r="C60" t="inlineStr">
        <is>
          <t>Tech Hardware</t>
        </is>
      </c>
      <c r="D60" t="inlineStr">
        <is>
          <t>Information Technology</t>
        </is>
      </c>
      <c r="E60" s="11" t="n">
        <v>0.5878721911258744</v>
      </c>
      <c r="F60" t="inlineStr"/>
      <c r="G60" t="n">
        <v>24</v>
      </c>
      <c r="H60" t="inlineStr">
        <is>
          <t>FSUTX</t>
        </is>
      </c>
      <c r="I60" t="inlineStr">
        <is>
          <t>Utilities</t>
        </is>
      </c>
      <c r="J60" t="inlineStr">
        <is>
          <t>Utilities</t>
        </is>
      </c>
      <c r="K60" s="11" t="n">
        <v>-0.07840082969123419</v>
      </c>
    </row>
    <row r="61">
      <c r="A61" t="n">
        <v>3</v>
      </c>
      <c r="B61" t="inlineStr">
        <is>
          <t>FSELX</t>
        </is>
      </c>
      <c r="C61" t="inlineStr">
        <is>
          <t>Semiconductors</t>
        </is>
      </c>
      <c r="D61" t="inlineStr">
        <is>
          <t>Information Technology</t>
        </is>
      </c>
      <c r="E61" s="11" t="n">
        <v>0.5019341683466274</v>
      </c>
      <c r="F61" t="inlineStr"/>
      <c r="G61" t="n">
        <v>25</v>
      </c>
      <c r="H61" t="inlineStr">
        <is>
          <t>FSHOX</t>
        </is>
      </c>
      <c r="I61" t="inlineStr">
        <is>
          <t>Construction &amp; Housing</t>
        </is>
      </c>
      <c r="J61" t="inlineStr">
        <is>
          <t>Consumer Discretionary</t>
        </is>
      </c>
      <c r="K61" s="11" t="n">
        <v>-0.07556906020683007</v>
      </c>
    </row>
    <row r="62">
      <c r="A62" t="n">
        <v>4</v>
      </c>
      <c r="B62" t="inlineStr">
        <is>
          <t>FSPTX</t>
        </is>
      </c>
      <c r="C62" t="inlineStr">
        <is>
          <t>Technology</t>
        </is>
      </c>
      <c r="D62" t="inlineStr">
        <is>
          <t>Information Technology</t>
        </is>
      </c>
      <c r="E62" s="11" t="n">
        <v>0.3894564744373987</v>
      </c>
      <c r="F62" t="inlineStr"/>
      <c r="G62" t="n">
        <v>26</v>
      </c>
      <c r="H62" t="inlineStr">
        <is>
          <t>FSVLX</t>
        </is>
      </c>
      <c r="I62" t="inlineStr">
        <is>
          <t>FinTech</t>
        </is>
      </c>
      <c r="J62" t="inlineStr">
        <is>
          <t>Financials</t>
        </is>
      </c>
      <c r="K62" s="11" t="n">
        <v>-0.07417147977041583</v>
      </c>
    </row>
    <row r="63">
      <c r="A63" t="n">
        <v>5</v>
      </c>
      <c r="B63" t="inlineStr">
        <is>
          <t>FPHAX</t>
        </is>
      </c>
      <c r="C63" t="inlineStr">
        <is>
          <t>Pharmaceuticals</t>
        </is>
      </c>
      <c r="D63" t="inlineStr">
        <is>
          <t>Health Care</t>
        </is>
      </c>
      <c r="E63" s="11" t="n">
        <v>0.2949910323697853</v>
      </c>
      <c r="F63" t="inlineStr"/>
      <c r="G63" t="n">
        <v>27</v>
      </c>
      <c r="H63" t="inlineStr">
        <is>
          <t>FDLSX</t>
        </is>
      </c>
      <c r="I63" t="inlineStr">
        <is>
          <t>Leisure</t>
        </is>
      </c>
      <c r="J63" t="inlineStr">
        <is>
          <t>Consumer Discretionary</t>
        </is>
      </c>
      <c r="K63" s="11" t="n">
        <v>-0.05074308936060612</v>
      </c>
    </row>
    <row r="64">
      <c r="A64" t="n">
        <v>6</v>
      </c>
      <c r="B64" t="inlineStr">
        <is>
          <t>FWRLX</t>
        </is>
      </c>
      <c r="C64" t="inlineStr">
        <is>
          <t>Wireless</t>
        </is>
      </c>
      <c r="D64" t="inlineStr">
        <is>
          <t>Communication Services</t>
        </is>
      </c>
      <c r="E64" s="11" t="n">
        <v>0.2381498079634274</v>
      </c>
      <c r="F64" t="inlineStr"/>
      <c r="G64" t="n">
        <v>28</v>
      </c>
      <c r="H64" t="inlineStr">
        <is>
          <t>FSAVX</t>
        </is>
      </c>
      <c r="I64" t="inlineStr">
        <is>
          <t>Automotive</t>
        </is>
      </c>
      <c r="J64" t="inlineStr">
        <is>
          <t>Consumer Discretionary</t>
        </is>
      </c>
      <c r="K64" s="11" t="n">
        <v>-0.05016105282886252</v>
      </c>
    </row>
    <row r="65">
      <c r="A65" t="n">
        <v>7</v>
      </c>
      <c r="B65" t="inlineStr">
        <is>
          <t>FBIOX</t>
        </is>
      </c>
      <c r="C65" t="inlineStr">
        <is>
          <t>Biotechnology</t>
        </is>
      </c>
      <c r="D65" t="inlineStr">
        <is>
          <t>Health Care</t>
        </is>
      </c>
      <c r="E65" s="11" t="n">
        <v>0.2307611822678315</v>
      </c>
      <c r="F65" t="inlineStr"/>
      <c r="G65" t="n">
        <v>29</v>
      </c>
      <c r="H65" t="inlineStr">
        <is>
          <t>FSCPX</t>
        </is>
      </c>
      <c r="I65" t="inlineStr">
        <is>
          <t>Consumer Discretionary</t>
        </is>
      </c>
      <c r="J65" t="inlineStr">
        <is>
          <t>Consumer Discretionary</t>
        </is>
      </c>
      <c r="K65" s="11" t="n">
        <v>-0.01497736456764986</v>
      </c>
    </row>
    <row r="66">
      <c r="A66" t="n">
        <v>8</v>
      </c>
      <c r="B66" t="inlineStr">
        <is>
          <t>FSPHX</t>
        </is>
      </c>
      <c r="C66" t="inlineStr">
        <is>
          <t>Health Care</t>
        </is>
      </c>
      <c r="D66" t="inlineStr">
        <is>
          <t>Health Care</t>
        </is>
      </c>
      <c r="E66" s="11" t="n">
        <v>0.2194114943347909</v>
      </c>
      <c r="F66" t="inlineStr"/>
      <c r="G66" t="n">
        <v>30</v>
      </c>
      <c r="H66" t="inlineStr">
        <is>
          <t>FSDAX</t>
        </is>
      </c>
      <c r="I66" t="inlineStr">
        <is>
          <t>Defense and Aerospace</t>
        </is>
      </c>
      <c r="J66" t="inlineStr">
        <is>
          <t>Industrials</t>
        </is>
      </c>
      <c r="K66" s="11" t="n">
        <v>0.02698830383569151</v>
      </c>
    </row>
    <row r="67">
      <c r="A67" t="n">
        <v>9</v>
      </c>
      <c r="B67" t="inlineStr">
        <is>
          <t>FSRBX</t>
        </is>
      </c>
      <c r="C67" t="inlineStr">
        <is>
          <t>Banking</t>
        </is>
      </c>
      <c r="D67" t="inlineStr">
        <is>
          <t>Financials</t>
        </is>
      </c>
      <c r="E67" s="11" t="n">
        <v>0.2105998427563405</v>
      </c>
      <c r="F67" t="inlineStr"/>
      <c r="G67" t="n">
        <v>31</v>
      </c>
      <c r="H67" t="inlineStr">
        <is>
          <t>FSCSX</t>
        </is>
      </c>
      <c r="I67" t="inlineStr">
        <is>
          <t>Software &amp; IT Services</t>
        </is>
      </c>
      <c r="J67" t="inlineStr">
        <is>
          <t>Information Technology</t>
        </is>
      </c>
      <c r="K67" s="11" t="n">
        <v>0.04543548241356876</v>
      </c>
    </row>
    <row r="68">
      <c r="A68" t="n">
        <v>10</v>
      </c>
      <c r="B68" t="inlineStr">
        <is>
          <t>FDFAX</t>
        </is>
      </c>
      <c r="C68" t="inlineStr">
        <is>
          <t>Consumer Staples</t>
        </is>
      </c>
      <c r="D68" t="inlineStr">
        <is>
          <t>Consumer Staples</t>
        </is>
      </c>
      <c r="E68" s="11" t="n">
        <v>0.197511746193352</v>
      </c>
      <c r="F68" t="inlineStr"/>
      <c r="G68" t="n">
        <v>32</v>
      </c>
      <c r="H68" t="inlineStr">
        <is>
          <t>FSTCX</t>
        </is>
      </c>
      <c r="I68" t="inlineStr">
        <is>
          <t>Telecommunications</t>
        </is>
      </c>
      <c r="J68" t="inlineStr">
        <is>
          <t>Communication Services</t>
        </is>
      </c>
      <c r="K68" s="11" t="n">
        <v>0.04915837681853485</v>
      </c>
    </row>
    <row r="69"/>
    <row r="70"/>
    <row r="71">
      <c r="A71" s="9">
        <f>== PAST 3 YEARS LEADERS &amp; LAGGARDS ===</f>
        <v/>
      </c>
    </row>
    <row r="72">
      <c r="A72" s="10" t="inlineStr">
        <is>
          <t>Top 10 - Rank</t>
        </is>
      </c>
      <c r="B72" s="10" t="inlineStr">
        <is>
          <t>Top 10 - Ticker</t>
        </is>
      </c>
      <c r="C72" s="10" t="inlineStr">
        <is>
          <t>Top 10 - Fund Name</t>
        </is>
      </c>
      <c r="D72" s="10" t="inlineStr">
        <is>
          <t>Top 10 - Sector</t>
        </is>
      </c>
      <c r="E72" s="10" t="inlineStr">
        <is>
          <t>Top 10 - 3Y</t>
        </is>
      </c>
      <c r="F72" t="inlineStr"/>
      <c r="G72" s="10" t="inlineStr">
        <is>
          <t>Bottom 10 - Rank</t>
        </is>
      </c>
      <c r="H72" s="10" t="inlineStr">
        <is>
          <t>Bottom 10 - Ticker</t>
        </is>
      </c>
      <c r="I72" s="10" t="inlineStr">
        <is>
          <t>Bottom 10 - Fund Name</t>
        </is>
      </c>
      <c r="J72" s="10" t="inlineStr">
        <is>
          <t>Bottom 10 - Sector</t>
        </is>
      </c>
      <c r="K72" s="10" t="inlineStr">
        <is>
          <t>Bottom 10 - 3Y</t>
        </is>
      </c>
    </row>
    <row r="73">
      <c r="A73" t="n">
        <v>1</v>
      </c>
      <c r="B73" t="inlineStr">
        <is>
          <t>FSELX</t>
        </is>
      </c>
      <c r="C73" t="inlineStr">
        <is>
          <t>Semiconductors</t>
        </is>
      </c>
      <c r="D73" t="inlineStr">
        <is>
          <t>Information Technology</t>
        </is>
      </c>
      <c r="E73" s="11" t="n">
        <v>2.338813591493924</v>
      </c>
      <c r="F73" t="inlineStr"/>
      <c r="G73" t="n">
        <v>23</v>
      </c>
      <c r="H73" t="inlineStr">
        <is>
          <t>FSHCX</t>
        </is>
      </c>
      <c r="I73" t="inlineStr">
        <is>
          <t>Health Care Services</t>
        </is>
      </c>
      <c r="J73" t="inlineStr">
        <is>
          <t>Health Care</t>
        </is>
      </c>
      <c r="K73" s="11" t="n">
        <v>0.05275017515680136</v>
      </c>
    </row>
    <row r="74">
      <c r="A74" t="n">
        <v>2</v>
      </c>
      <c r="B74" t="inlineStr">
        <is>
          <t>FSAGX</t>
        </is>
      </c>
      <c r="C74" t="inlineStr">
        <is>
          <t>Gold</t>
        </is>
      </c>
      <c r="D74" t="inlineStr">
        <is>
          <t>Materials</t>
        </is>
      </c>
      <c r="E74" s="11" t="n">
        <v>2.160188084321832</v>
      </c>
      <c r="F74" t="inlineStr"/>
      <c r="G74" t="n">
        <v>24</v>
      </c>
      <c r="H74" t="inlineStr">
        <is>
          <t>FSCHX</t>
        </is>
      </c>
      <c r="I74" t="inlineStr">
        <is>
          <t>Chemicals</t>
        </is>
      </c>
      <c r="J74" t="inlineStr">
        <is>
          <t>Materials</t>
        </is>
      </c>
      <c r="K74" s="11" t="n">
        <v>0.1143696617463226</v>
      </c>
    </row>
    <row r="75">
      <c r="A75" t="n">
        <v>3</v>
      </c>
      <c r="B75" t="inlineStr">
        <is>
          <t>FDCPX</t>
        </is>
      </c>
      <c r="C75" t="inlineStr">
        <is>
          <t>Tech Hardware</t>
        </is>
      </c>
      <c r="D75" t="inlineStr">
        <is>
          <t>Information Technology</t>
        </is>
      </c>
      <c r="E75" s="11" t="n">
        <v>1.913167525520154</v>
      </c>
      <c r="F75" t="inlineStr"/>
      <c r="G75" t="n">
        <v>25</v>
      </c>
      <c r="H75" t="inlineStr">
        <is>
          <t>FSAVX</t>
        </is>
      </c>
      <c r="I75" t="inlineStr">
        <is>
          <t>Automotive</t>
        </is>
      </c>
      <c r="J75" t="inlineStr">
        <is>
          <t>Consumer Discretionary</t>
        </is>
      </c>
      <c r="K75" s="11" t="n">
        <v>0.1979952486912933</v>
      </c>
    </row>
    <row r="76">
      <c r="A76" t="n">
        <v>4</v>
      </c>
      <c r="B76" t="inlineStr">
        <is>
          <t>FSPTX</t>
        </is>
      </c>
      <c r="C76" t="inlineStr">
        <is>
          <t>Technology</t>
        </is>
      </c>
      <c r="D76" t="inlineStr">
        <is>
          <t>Information Technology</t>
        </is>
      </c>
      <c r="E76" s="11" t="n">
        <v>1.513944207788594</v>
      </c>
      <c r="F76" t="inlineStr"/>
      <c r="G76" t="n">
        <v>26</v>
      </c>
      <c r="H76" t="inlineStr">
        <is>
          <t>FSDPX</t>
        </is>
      </c>
      <c r="I76" t="inlineStr">
        <is>
          <t>Materials</t>
        </is>
      </c>
      <c r="J76" t="inlineStr">
        <is>
          <t>Materials</t>
        </is>
      </c>
      <c r="K76" s="11" t="n">
        <v>0.2568889837045589</v>
      </c>
    </row>
    <row r="77">
      <c r="A77" t="n">
        <v>5</v>
      </c>
      <c r="B77" t="inlineStr">
        <is>
          <t>FSRBX</t>
        </is>
      </c>
      <c r="C77" t="inlineStr">
        <is>
          <t>Banking</t>
        </is>
      </c>
      <c r="D77" t="inlineStr">
        <is>
          <t>Financials</t>
        </is>
      </c>
      <c r="E77" s="11" t="n">
        <v>1.106298961921722</v>
      </c>
      <c r="F77" t="inlineStr"/>
      <c r="G77" t="n">
        <v>27</v>
      </c>
      <c r="H77" t="inlineStr">
        <is>
          <t>FSVLX</t>
        </is>
      </c>
      <c r="I77" t="inlineStr">
        <is>
          <t>FinTech</t>
        </is>
      </c>
      <c r="J77" t="inlineStr">
        <is>
          <t>Financials</t>
        </is>
      </c>
      <c r="K77" s="11" t="n">
        <v>0.2698413288192747</v>
      </c>
    </row>
    <row r="78">
      <c r="A78" t="n">
        <v>6</v>
      </c>
      <c r="B78" t="inlineStr">
        <is>
          <t>FSDAX</t>
        </is>
      </c>
      <c r="C78" t="inlineStr">
        <is>
          <t>Defense and Aerospace</t>
        </is>
      </c>
      <c r="D78" t="inlineStr">
        <is>
          <t>Industrials</t>
        </is>
      </c>
      <c r="E78" s="11" t="n">
        <v>1.015911842128941</v>
      </c>
      <c r="F78" t="inlineStr"/>
      <c r="G78" t="n">
        <v>28</v>
      </c>
      <c r="H78" t="inlineStr">
        <is>
          <t>FDFAX</t>
        </is>
      </c>
      <c r="I78" t="inlineStr">
        <is>
          <t>Consumer Staples</t>
        </is>
      </c>
      <c r="J78" t="inlineStr">
        <is>
          <t>Consumer Staples</t>
        </is>
      </c>
      <c r="K78" s="11" t="n">
        <v>0.3269413967409487</v>
      </c>
    </row>
    <row r="79">
      <c r="A79" t="n">
        <v>7</v>
      </c>
      <c r="B79" t="inlineStr">
        <is>
          <t>FBIOX</t>
        </is>
      </c>
      <c r="C79" t="inlineStr">
        <is>
          <t>Biotechnology</t>
        </is>
      </c>
      <c r="D79" t="inlineStr">
        <is>
          <t>Health Care</t>
        </is>
      </c>
      <c r="E79" s="11" t="n">
        <v>0.9122311590782219</v>
      </c>
      <c r="F79" t="inlineStr"/>
      <c r="G79" t="n">
        <v>29</v>
      </c>
      <c r="H79" t="inlineStr">
        <is>
          <t>FBSOX</t>
        </is>
      </c>
      <c r="I79" t="inlineStr">
        <is>
          <t>Enterprise Tech Services</t>
        </is>
      </c>
      <c r="J79" t="inlineStr">
        <is>
          <t>Information Technology</t>
        </is>
      </c>
      <c r="K79" s="11" t="n">
        <v>0.3469350996737215</v>
      </c>
    </row>
    <row r="80">
      <c r="A80" t="n">
        <v>8</v>
      </c>
      <c r="B80" t="inlineStr">
        <is>
          <t>FIDSX</t>
        </is>
      </c>
      <c r="C80" t="inlineStr">
        <is>
          <t>Financials</t>
        </is>
      </c>
      <c r="D80" t="inlineStr">
        <is>
          <t>Financials</t>
        </is>
      </c>
      <c r="E80" s="11" t="n">
        <v>0.8913483545139635</v>
      </c>
      <c r="F80" t="inlineStr"/>
      <c r="G80" t="n">
        <v>30</v>
      </c>
      <c r="H80" t="inlineStr">
        <is>
          <t>FDLSX</t>
        </is>
      </c>
      <c r="I80" t="inlineStr">
        <is>
          <t>Leisure</t>
        </is>
      </c>
      <c r="J80" t="inlineStr">
        <is>
          <t>Consumer Discretionary</t>
        </is>
      </c>
      <c r="K80" s="11" t="n">
        <v>0.3517723766127778</v>
      </c>
    </row>
    <row r="81">
      <c r="A81" t="n">
        <v>9</v>
      </c>
      <c r="B81" t="inlineStr">
        <is>
          <t>FWRLX</t>
        </is>
      </c>
      <c r="C81" t="inlineStr">
        <is>
          <t>Wireless</t>
        </is>
      </c>
      <c r="D81" t="inlineStr">
        <is>
          <t>Communication Services</t>
        </is>
      </c>
      <c r="E81" s="11" t="n">
        <v>0.8082067511721287</v>
      </c>
      <c r="F81" t="inlineStr"/>
      <c r="G81" t="n">
        <v>31</v>
      </c>
      <c r="H81" t="inlineStr">
        <is>
          <t>FRESX</t>
        </is>
      </c>
      <c r="I81" t="inlineStr">
        <is>
          <t>Real Estate Investment</t>
        </is>
      </c>
      <c r="J81" t="inlineStr">
        <is>
          <t>Real Estate</t>
        </is>
      </c>
      <c r="K81" s="11" t="n">
        <v>0.3579831939311064</v>
      </c>
    </row>
    <row r="82">
      <c r="A82" t="n">
        <v>10</v>
      </c>
      <c r="B82" t="inlineStr">
        <is>
          <t>FSLEX</t>
        </is>
      </c>
      <c r="C82" t="inlineStr">
        <is>
          <t>Environment &amp; Alt Energy</t>
        </is>
      </c>
      <c r="D82" t="inlineStr">
        <is>
          <t>Energy</t>
        </is>
      </c>
      <c r="E82" s="11" t="n">
        <v>0.7581141110509326</v>
      </c>
      <c r="F82" t="inlineStr"/>
      <c r="G82" t="n">
        <v>32</v>
      </c>
      <c r="H82" t="inlineStr">
        <is>
          <t>FSHOX</t>
        </is>
      </c>
      <c r="I82" t="inlineStr">
        <is>
          <t>Construction &amp; Housing</t>
        </is>
      </c>
      <c r="J82" t="inlineStr">
        <is>
          <t>Consumer Discretionary</t>
        </is>
      </c>
      <c r="K82" s="11" t="n">
        <v>0.3641768869627415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2026-10-17T02:46:25Z</dcterms:created>
  <dcterms:modified xmlns:dcterms="http://purl.org/dc/terms/" xmlns:xsi="http://www.w3.org/2001/XMLSchema-instance" xsi:type="dcterms:W3CDTF">2026-10-17T02:46:25Z</dcterms:modified>
</cp:coreProperties>
</file>