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IBD_RS_Leaderboard" sheetId="1" state="visible" r:id="rId1"/>
    <sheet xmlns:r="http://schemas.openxmlformats.org/officeDocument/2006/relationships" name="Top_and_Last_10" sheetId="2" state="visible" r:id="rId2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$#,##0.00"/>
  </numFmts>
  <fonts count="4">
    <font>
      <name val="Calibri"/>
      <family val="2"/>
      <color theme="1"/>
      <sz val="11"/>
      <scheme val="minor"/>
    </font>
    <font>
      <b val="1"/>
    </font>
    <font>
      <name val="Calibri"/>
      <b val="1"/>
      <color rgb="00FFFFFF"/>
      <sz val="11"/>
    </font>
    <font>
      <b val="1"/>
      <color rgb="001F4E79"/>
      <sz val="12"/>
    </font>
  </fonts>
  <fills count="5">
    <fill>
      <patternFill/>
    </fill>
    <fill>
      <patternFill patternType="gray125"/>
    </fill>
    <fill>
      <patternFill patternType="solid">
        <fgColor rgb="001F4E79"/>
      </patternFill>
    </fill>
    <fill>
      <patternFill patternType="solid">
        <fgColor rgb="00C6EFCE"/>
      </patternFill>
    </fill>
    <fill>
      <patternFill patternType="solid">
        <fgColor rgb="00FFC7CE"/>
      </patternFill>
    </fill>
  </fills>
  <borders count="3">
    <border>
      <left/>
      <right/>
      <top/>
      <bottom/>
      <diagonal/>
    </border>
    <border>
      <left style="thin"/>
      <right style="thin"/>
      <top style="thin"/>
      <bottom style="thin"/>
    </border>
    <border>
      <left style="thin">
        <color rgb="00E0E0E0"/>
      </left>
      <right style="thin">
        <color rgb="00E0E0E0"/>
      </right>
      <top style="thin">
        <color rgb="00E0E0E0"/>
      </top>
      <bottom style="thin">
        <color rgb="00E0E0E0"/>
      </bottom>
    </border>
  </borders>
  <cellStyleXfs count="1">
    <xf numFmtId="0" fontId="0" fillId="0" borderId="0"/>
  </cellStyleXfs>
  <cellXfs count="12">
    <xf numFmtId="0" fontId="0" fillId="0" borderId="0" pivotButton="0" quotePrefix="0" xfId="0"/>
    <xf numFmtId="0" fontId="1" fillId="0" borderId="1" applyAlignment="1" pivotButton="0" quotePrefix="0" xfId="0">
      <alignment horizontal="center" vertical="top"/>
    </xf>
    <xf numFmtId="0" fontId="2" fillId="2" borderId="1" applyAlignment="1" pivotButton="0" quotePrefix="0" xfId="0">
      <alignment horizontal="center" vertical="center"/>
    </xf>
    <xf numFmtId="0" fontId="0" fillId="0" borderId="2" pivotButton="0" quotePrefix="0" xfId="0"/>
    <xf numFmtId="1" fontId="1" fillId="3" borderId="2" pivotButton="0" quotePrefix="0" xfId="0"/>
    <xf numFmtId="164" fontId="0" fillId="0" borderId="2" pivotButton="0" quotePrefix="0" xfId="0"/>
    <xf numFmtId="10" fontId="0" fillId="0" borderId="2" pivotButton="0" quotePrefix="0" xfId="0"/>
    <xf numFmtId="1" fontId="1" fillId="0" borderId="2" pivotButton="0" quotePrefix="0" xfId="0"/>
    <xf numFmtId="1" fontId="1" fillId="4" borderId="2" pivotButton="0" quotePrefix="0" xfId="0"/>
    <xf numFmtId="0" fontId="3" fillId="0" borderId="0" pivotButton="0" quotePrefix="0" xfId="0"/>
    <xf numFmtId="0" fontId="2" fillId="2" borderId="0" pivotButton="0" quotePrefix="0" xfId="0"/>
    <xf numFmtId="1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P34"/>
  <sheetViews>
    <sheetView workbookViewId="0">
      <pane xSplit="5" ySplit="1" topLeftCell="F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2" customWidth="1" min="1" max="1"/>
    <col width="16" customWidth="1" min="2" max="2"/>
    <col width="12" customWidth="1" min="3" max="3"/>
    <col width="27" customWidth="1" min="4" max="4"/>
    <col width="25" customWidth="1" min="5" max="5"/>
    <col width="13" customWidth="1" min="6" max="6"/>
    <col width="25" customWidth="1" min="7" max="7"/>
    <col width="24" customWidth="1" min="8" max="8"/>
    <col width="25" customWidth="1" min="9" max="9"/>
    <col width="24" customWidth="1" min="10" max="10"/>
    <col width="25" customWidth="1" min="11" max="11"/>
    <col width="24" customWidth="1" min="12" max="12"/>
    <col width="24" customWidth="1" min="13" max="13"/>
    <col width="23" customWidth="1" min="14" max="14"/>
    <col width="21" customWidth="1" min="15" max="15"/>
    <col width="22" customWidth="1" min="16" max="16"/>
  </cols>
  <sheetData>
    <row r="1">
      <c r="A1" s="2" t="inlineStr">
        <is>
          <t>IBD_Rank</t>
        </is>
      </c>
      <c r="B1" s="2" t="inlineStr">
        <is>
          <t>IBD_RS_Rating</t>
        </is>
      </c>
      <c r="C1" s="2" t="inlineStr">
        <is>
          <t>Ticker</t>
        </is>
      </c>
      <c r="D1" s="2" t="inlineStr">
        <is>
          <t>Fund Name</t>
        </is>
      </c>
      <c r="E1" s="2" t="inlineStr">
        <is>
          <t>Sector</t>
        </is>
      </c>
      <c r="F1" s="2" t="inlineStr">
        <is>
          <t>Latest NAV</t>
        </is>
      </c>
      <c r="G1" s="2" t="inlineStr">
        <is>
          <t>1D</t>
        </is>
      </c>
      <c r="H1" s="2" t="inlineStr">
        <is>
          <t>1W</t>
        </is>
      </c>
      <c r="I1" s="2" t="inlineStr">
        <is>
          <t>2W</t>
        </is>
      </c>
      <c r="J1" s="2" t="inlineStr">
        <is>
          <t>1M</t>
        </is>
      </c>
      <c r="K1" s="2" t="inlineStr">
        <is>
          <t>3M</t>
        </is>
      </c>
      <c r="L1" s="2" t="inlineStr">
        <is>
          <t>6M</t>
        </is>
      </c>
      <c r="M1" s="2" t="inlineStr">
        <is>
          <t>9M</t>
        </is>
      </c>
      <c r="N1" s="2" t="inlineStr">
        <is>
          <t>1Y</t>
        </is>
      </c>
      <c r="O1" s="2" t="inlineStr">
        <is>
          <t>3Y</t>
        </is>
      </c>
      <c r="P1" s="2" t="inlineStr">
        <is>
          <t>3Y (Ann.)</t>
        </is>
      </c>
    </row>
    <row r="2">
      <c r="A2" s="3" t="n">
        <v>1</v>
      </c>
      <c r="B2" s="4" t="n">
        <v>99</v>
      </c>
      <c r="C2" s="3" t="inlineStr">
        <is>
          <t>FDCPX</t>
        </is>
      </c>
      <c r="D2" s="3" t="inlineStr">
        <is>
          <t>Tech Hardware</t>
        </is>
      </c>
      <c r="E2" s="3" t="inlineStr">
        <is>
          <t>Information Technology</t>
        </is>
      </c>
      <c r="F2" s="5" t="n">
        <v>215.15</v>
      </c>
      <c r="G2" s="6" t="n">
        <v>0.006361385719916957</v>
      </c>
      <c r="H2" s="6" t="n">
        <v>-0.007427572666324211</v>
      </c>
      <c r="I2" s="6" t="n">
        <v>0.009619839203443892</v>
      </c>
      <c r="J2" s="6" t="n">
        <v>0.02898272353881892</v>
      </c>
      <c r="K2" s="6" t="n">
        <v>-0.07878402446946553</v>
      </c>
      <c r="L2" s="6" t="n">
        <v>0.4938975646941843</v>
      </c>
      <c r="M2" s="6" t="n">
        <v>0.72035447422934</v>
      </c>
      <c r="N2" s="6" t="n">
        <v>0.9386741294708902</v>
      </c>
      <c r="O2" s="6" t="n">
        <v>2.095898832676281</v>
      </c>
      <c r="P2" s="6" t="n">
        <v>0.4574564508819141</v>
      </c>
    </row>
    <row r="3">
      <c r="A3" s="3" t="n">
        <v>2</v>
      </c>
      <c r="B3" s="4" t="n">
        <v>96</v>
      </c>
      <c r="C3" s="3" t="inlineStr">
        <is>
          <t>FBIOX</t>
        </is>
      </c>
      <c r="D3" s="3" t="inlineStr">
        <is>
          <t>Biotechnology</t>
        </is>
      </c>
      <c r="E3" s="3" t="inlineStr">
        <is>
          <t>Health Care</t>
        </is>
      </c>
      <c r="F3" s="5" t="n">
        <v>30.89</v>
      </c>
      <c r="G3" s="6" t="n">
        <v>-0.0003236320066437592</v>
      </c>
      <c r="H3" s="6" t="n">
        <v>-0.01025311452134658</v>
      </c>
      <c r="I3" s="6" t="n">
        <v>0.009807101522200101</v>
      </c>
      <c r="J3" s="6" t="n">
        <v>0.1171790168469589</v>
      </c>
      <c r="K3" s="6" t="n">
        <v>0.2577361588498377</v>
      </c>
      <c r="L3" s="6" t="n">
        <v>0.2610546688730686</v>
      </c>
      <c r="M3" s="6" t="n">
        <v>0.2780450095163329</v>
      </c>
      <c r="N3" s="6" t="n">
        <v>0.5777877495461556</v>
      </c>
      <c r="O3" s="6" t="n">
        <v>1.016146595380402</v>
      </c>
      <c r="P3" s="6" t="n">
        <v>0.2633025388002943</v>
      </c>
    </row>
    <row r="4">
      <c r="A4" s="3" t="n">
        <v>3</v>
      </c>
      <c r="B4" s="4" t="n">
        <v>93</v>
      </c>
      <c r="C4" s="3" t="inlineStr">
        <is>
          <t>FSENX</t>
        </is>
      </c>
      <c r="D4" s="3" t="inlineStr">
        <is>
          <t>Energy</t>
        </is>
      </c>
      <c r="E4" s="3" t="inlineStr">
        <is>
          <t>Energy</t>
        </is>
      </c>
      <c r="F4" s="5" t="n">
        <v>93.92</v>
      </c>
      <c r="G4" s="6" t="n">
        <v>-0.005295488346709676</v>
      </c>
      <c r="H4" s="6" t="n">
        <v>0.03641575063280111</v>
      </c>
      <c r="I4" s="6" t="n">
        <v>0.01557087759235842</v>
      </c>
      <c r="J4" s="6" t="n">
        <v>0.1028651259996782</v>
      </c>
      <c r="K4" s="6" t="n">
        <v>0.121700637805694</v>
      </c>
      <c r="L4" s="6" t="n">
        <v>0.1965726511943291</v>
      </c>
      <c r="M4" s="6" t="n">
        <v>0.4953473715013119</v>
      </c>
      <c r="N4" s="6" t="n">
        <v>0.5821442086912221</v>
      </c>
      <c r="O4" s="6" t="n">
        <v>0.6359265697093406</v>
      </c>
      <c r="P4" s="6" t="n">
        <v>0.1782965389141948</v>
      </c>
    </row>
    <row r="5">
      <c r="A5" s="3" t="n">
        <v>4</v>
      </c>
      <c r="B5" s="4" t="n">
        <v>90</v>
      </c>
      <c r="C5" s="3" t="inlineStr">
        <is>
          <t>FSELX</t>
        </is>
      </c>
      <c r="D5" s="3" t="inlineStr">
        <is>
          <t>Semiconductors</t>
        </is>
      </c>
      <c r="E5" s="3" t="inlineStr">
        <is>
          <t>Information Technology</t>
        </is>
      </c>
      <c r="F5" s="5" t="n">
        <v>59.57</v>
      </c>
      <c r="G5" s="6" t="n">
        <v>0.003030818437879113</v>
      </c>
      <c r="H5" s="6" t="n">
        <v>-0.0357720804166356</v>
      </c>
      <c r="I5" s="6" t="n">
        <v>-0.02296213708133432</v>
      </c>
      <c r="J5" s="6" t="n">
        <v>-0.005343124028809543</v>
      </c>
      <c r="K5" s="6" t="n">
        <v>-0.1921616297728077</v>
      </c>
      <c r="L5" s="6" t="n">
        <v>0.3991717461873354</v>
      </c>
      <c r="M5" s="6" t="n">
        <v>0.4873736402022748</v>
      </c>
      <c r="N5" s="6" t="n">
        <v>0.8476440521545707</v>
      </c>
      <c r="O5" s="6" t="n">
        <v>2.280748433069891</v>
      </c>
      <c r="P5" s="6" t="n">
        <v>0.4859047694198886</v>
      </c>
    </row>
    <row r="6">
      <c r="A6" s="3" t="n">
        <v>5</v>
      </c>
      <c r="B6" s="4" t="n">
        <v>87</v>
      </c>
      <c r="C6" s="3" t="inlineStr">
        <is>
          <t>FSAGX</t>
        </is>
      </c>
      <c r="D6" s="3" t="inlineStr">
        <is>
          <t>Gold</t>
        </is>
      </c>
      <c r="E6" s="3" t="inlineStr">
        <is>
          <t>Materials</t>
        </is>
      </c>
      <c r="F6" s="5" t="n">
        <v>69.73999999999999</v>
      </c>
      <c r="G6" s="6" t="n">
        <v>0.03779763438804418</v>
      </c>
      <c r="H6" s="6" t="n">
        <v>-0.02624971810549426</v>
      </c>
      <c r="I6" s="6" t="n">
        <v>0.01263242460420377</v>
      </c>
      <c r="J6" s="6" t="n">
        <v>0.3554907061149115</v>
      </c>
      <c r="K6" s="6" t="n">
        <v>0.2026210699294706</v>
      </c>
      <c r="L6" s="6" t="n">
        <v>-0.02717773275784641</v>
      </c>
      <c r="M6" s="6" t="n">
        <v>0.3024151490577824</v>
      </c>
      <c r="N6" s="6" t="n">
        <v>0.5677063463050824</v>
      </c>
      <c r="O6" s="6" t="n">
        <v>2.492861879669038</v>
      </c>
      <c r="P6" s="6" t="n">
        <v>0.5172616150006557</v>
      </c>
    </row>
    <row r="7">
      <c r="A7" s="3" t="n">
        <v>6</v>
      </c>
      <c r="B7" s="4" t="n">
        <v>84</v>
      </c>
      <c r="C7" s="3" t="inlineStr">
        <is>
          <t>FSPHX</t>
        </is>
      </c>
      <c r="D7" s="3" t="inlineStr">
        <is>
          <t>Health Care</t>
        </is>
      </c>
      <c r="E7" s="3" t="inlineStr">
        <is>
          <t>Health Care</t>
        </is>
      </c>
      <c r="F7" s="5" t="n">
        <v>29.88</v>
      </c>
      <c r="G7" s="6" t="n">
        <v>0.002348195104940887</v>
      </c>
      <c r="H7" s="6" t="n">
        <v>-0.009283842442377677</v>
      </c>
      <c r="I7" s="6" t="n">
        <v>-0.005326289942888751</v>
      </c>
      <c r="J7" s="6" t="n">
        <v>0.09330403381555352</v>
      </c>
      <c r="K7" s="6" t="n">
        <v>0.2418952545307658</v>
      </c>
      <c r="L7" s="6" t="n">
        <v>0.2125937181650828</v>
      </c>
      <c r="M7" s="6" t="n">
        <v>0.1707412530469439</v>
      </c>
      <c r="N7" s="6" t="n">
        <v>0.3459809014449917</v>
      </c>
      <c r="O7" s="6" t="n">
        <v>0.4609830202740366</v>
      </c>
      <c r="P7" s="6" t="n">
        <v>0.134701745271151</v>
      </c>
    </row>
    <row r="8">
      <c r="A8" s="3" t="n">
        <v>7</v>
      </c>
      <c r="B8" s="4" t="n">
        <v>81</v>
      </c>
      <c r="C8" s="3" t="inlineStr">
        <is>
          <t>FSPTX</t>
        </is>
      </c>
      <c r="D8" s="3" t="inlineStr">
        <is>
          <t>Technology</t>
        </is>
      </c>
      <c r="E8" s="3" t="inlineStr">
        <is>
          <t>Information Technology</t>
        </is>
      </c>
      <c r="F8" s="5" t="n">
        <v>55.09</v>
      </c>
      <c r="G8" s="6" t="n">
        <v>0.01585839235867526</v>
      </c>
      <c r="H8" s="6" t="n">
        <v>-0.009350844309591211</v>
      </c>
      <c r="I8" s="6" t="n">
        <v>0.02226759652125665</v>
      </c>
      <c r="J8" s="6" t="n">
        <v>0.04159577969989603</v>
      </c>
      <c r="K8" s="6" t="n">
        <v>-0.05441123000811454</v>
      </c>
      <c r="L8" s="6" t="n">
        <v>0.4105544324177868</v>
      </c>
      <c r="M8" s="6" t="n">
        <v>0.3539814180831902</v>
      </c>
      <c r="N8" s="6" t="n">
        <v>0.5216264313801517</v>
      </c>
      <c r="O8" s="6" t="n">
        <v>1.434819018665046</v>
      </c>
      <c r="P8" s="6" t="n">
        <v>0.3453095603011007</v>
      </c>
    </row>
    <row r="9">
      <c r="A9" s="3" t="n">
        <v>8</v>
      </c>
      <c r="B9" s="7" t="n">
        <v>78</v>
      </c>
      <c r="C9" s="3" t="inlineStr">
        <is>
          <t>FPHAX</t>
        </is>
      </c>
      <c r="D9" s="3" t="inlineStr">
        <is>
          <t>Pharmaceuticals</t>
        </is>
      </c>
      <c r="E9" s="3" t="inlineStr">
        <is>
          <t>Health Care</t>
        </is>
      </c>
      <c r="F9" s="5" t="n">
        <v>35.63</v>
      </c>
      <c r="G9" s="6" t="n">
        <v>0.002532362134762156</v>
      </c>
      <c r="H9" s="6" t="n">
        <v>-0.001960775723480856</v>
      </c>
      <c r="I9" s="6" t="n">
        <v>-0.00890124306072626</v>
      </c>
      <c r="J9" s="6" t="n">
        <v>0.06836589800036652</v>
      </c>
      <c r="K9" s="6" t="n">
        <v>0.0932801749399792</v>
      </c>
      <c r="L9" s="6" t="n">
        <v>0.1338867696390422</v>
      </c>
      <c r="M9" s="6" t="n">
        <v>0.1910693052350443</v>
      </c>
      <c r="N9" s="6" t="n">
        <v>0.4645741038173641</v>
      </c>
      <c r="O9" s="6" t="n">
        <v>0.7067111571950246</v>
      </c>
      <c r="P9" s="6" t="n">
        <v>0.1950516500367263</v>
      </c>
    </row>
    <row r="10">
      <c r="A10" s="3" t="n">
        <v>9</v>
      </c>
      <c r="B10" s="7" t="n">
        <v>75</v>
      </c>
      <c r="C10" s="3" t="inlineStr">
        <is>
          <t>FIDSX</t>
        </is>
      </c>
      <c r="D10" s="3" t="inlineStr">
        <is>
          <t>Financials</t>
        </is>
      </c>
      <c r="E10" s="3" t="inlineStr">
        <is>
          <t>Financials</t>
        </is>
      </c>
      <c r="F10" s="5" t="n">
        <v>17.94</v>
      </c>
      <c r="G10" s="6" t="n">
        <v>0.01470589504490682</v>
      </c>
      <c r="H10" s="6" t="n">
        <v>0.01528016166371748</v>
      </c>
      <c r="I10" s="6" t="n">
        <v>0.03044231426138055</v>
      </c>
      <c r="J10" s="6" t="n">
        <v>0.02572903195130705</v>
      </c>
      <c r="K10" s="6" t="n">
        <v>0.1825972606349773</v>
      </c>
      <c r="L10" s="6" t="n">
        <v>0.1915662380442442</v>
      </c>
      <c r="M10" s="6" t="n">
        <v>0.1790075905047148</v>
      </c>
      <c r="N10" s="6" t="n">
        <v>0.1819133855764432</v>
      </c>
      <c r="O10" s="6" t="n">
        <v>0.9690558682959405</v>
      </c>
      <c r="P10" s="6" t="n">
        <v>0.2533893865767978</v>
      </c>
    </row>
    <row r="11">
      <c r="A11" s="3" t="n">
        <v>10</v>
      </c>
      <c r="B11" s="7" t="n">
        <v>72</v>
      </c>
      <c r="C11" s="3" t="inlineStr">
        <is>
          <t>FSRBX</t>
        </is>
      </c>
      <c r="D11" s="3" t="inlineStr">
        <is>
          <t>Banking</t>
        </is>
      </c>
      <c r="E11" s="3" t="inlineStr">
        <is>
          <t>Financials</t>
        </is>
      </c>
      <c r="F11" s="5" t="n">
        <v>38.48</v>
      </c>
      <c r="G11" s="6" t="n">
        <v>0.01103515905913888</v>
      </c>
      <c r="H11" s="6" t="n">
        <v>0.01503560266732973</v>
      </c>
      <c r="I11" s="6" t="n">
        <v>0.0145003752342574</v>
      </c>
      <c r="J11" s="6" t="n">
        <v>-0.01181302261672768</v>
      </c>
      <c r="K11" s="6" t="n">
        <v>0.1271236154123605</v>
      </c>
      <c r="L11" s="6" t="n">
        <v>0.1529606327184165</v>
      </c>
      <c r="M11" s="6" t="n">
        <v>0.1857608791225325</v>
      </c>
      <c r="N11" s="6" t="n">
        <v>0.2313803530319625</v>
      </c>
      <c r="O11" s="6" t="n">
        <v>1.156688458469165</v>
      </c>
      <c r="P11" s="6" t="n">
        <v>0.2919998742897276</v>
      </c>
    </row>
    <row r="12">
      <c r="A12" s="3" t="n">
        <v>11</v>
      </c>
      <c r="B12" s="7" t="n">
        <v>69</v>
      </c>
      <c r="C12" s="3" t="inlineStr">
        <is>
          <t>FSPCX</t>
        </is>
      </c>
      <c r="D12" s="3" t="inlineStr">
        <is>
          <t>Insurance</t>
        </is>
      </c>
      <c r="E12" s="3" t="inlineStr">
        <is>
          <t>Financials</t>
        </is>
      </c>
      <c r="F12" s="5" t="n">
        <v>99.22</v>
      </c>
      <c r="G12" s="6" t="n">
        <v>0.01628601876488833</v>
      </c>
      <c r="H12" s="6" t="n">
        <v>0.01889509159151848</v>
      </c>
      <c r="I12" s="6" t="n">
        <v>0.02235958887902378</v>
      </c>
      <c r="J12" s="6" t="n">
        <v>0.01743236911562773</v>
      </c>
      <c r="K12" s="6" t="n">
        <v>0.1934087316466444</v>
      </c>
      <c r="L12" s="6" t="n">
        <v>0.1291038545741465</v>
      </c>
      <c r="M12" s="6" t="n">
        <v>0.1613599084411854</v>
      </c>
      <c r="N12" s="6" t="n">
        <v>0.1128506409113266</v>
      </c>
      <c r="O12" s="6" t="n">
        <v>0.6052353157437484</v>
      </c>
      <c r="P12" s="6" t="n">
        <v>0.1708813861118326</v>
      </c>
    </row>
    <row r="13">
      <c r="A13" s="3" t="n">
        <v>12</v>
      </c>
      <c r="B13" s="7" t="n">
        <v>66</v>
      </c>
      <c r="C13" s="3" t="inlineStr">
        <is>
          <t>FSHCX</t>
        </is>
      </c>
      <c r="D13" s="3" t="inlineStr">
        <is>
          <t>Health Care Services</t>
        </is>
      </c>
      <c r="E13" s="3" t="inlineStr">
        <is>
          <t>Health Care</t>
        </is>
      </c>
      <c r="F13" s="5" t="n">
        <v>117.58</v>
      </c>
      <c r="G13" s="6" t="n">
        <v>0.004184862144414492</v>
      </c>
      <c r="H13" s="6" t="n">
        <v>0.01651252435674522</v>
      </c>
      <c r="I13" s="6" t="n">
        <v>0.03321615709955372</v>
      </c>
      <c r="J13" s="6" t="n">
        <v>-0.001613270080898066</v>
      </c>
      <c r="K13" s="6" t="n">
        <v>0.1191700415324901</v>
      </c>
      <c r="L13" s="6" t="n">
        <v>0.1689035302883712</v>
      </c>
      <c r="M13" s="6" t="n">
        <v>0.1496014852561591</v>
      </c>
      <c r="N13" s="6" t="n">
        <v>0.2167875984263936</v>
      </c>
      <c r="O13" s="6" t="n">
        <v>0.1182841311504481</v>
      </c>
      <c r="P13" s="6" t="n">
        <v>0.03796821366251502</v>
      </c>
    </row>
    <row r="14">
      <c r="A14" s="3" t="n">
        <v>13</v>
      </c>
      <c r="B14" s="7" t="n">
        <v>63</v>
      </c>
      <c r="C14" s="3" t="inlineStr">
        <is>
          <t>FSCSX</t>
        </is>
      </c>
      <c r="D14" s="3" t="inlineStr">
        <is>
          <t>Software &amp; IT Services</t>
        </is>
      </c>
      <c r="E14" s="3" t="inlineStr">
        <is>
          <t>Information Technology</t>
        </is>
      </c>
      <c r="F14" s="5" t="n">
        <v>24.08</v>
      </c>
      <c r="G14" s="6" t="n">
        <v>0.03569892144972275</v>
      </c>
      <c r="H14" s="6" t="n">
        <v>-0.02707071015329077</v>
      </c>
      <c r="I14" s="6" t="n">
        <v>0.04786772860669419</v>
      </c>
      <c r="J14" s="6" t="n">
        <v>0.08030502174326015</v>
      </c>
      <c r="K14" s="6" t="n">
        <v>0.1101889963486014</v>
      </c>
      <c r="L14" s="6" t="n">
        <v>0.3385720786667437</v>
      </c>
      <c r="M14" s="6" t="n">
        <v>0.04925731675268885</v>
      </c>
      <c r="N14" s="6" t="n">
        <v>0.04962981105947573</v>
      </c>
      <c r="O14" s="6" t="n">
        <v>0.3543389334058802</v>
      </c>
      <c r="P14" s="6" t="n">
        <v>0.1063922401628281</v>
      </c>
    </row>
    <row r="15">
      <c r="A15" s="3" t="n">
        <v>14</v>
      </c>
      <c r="B15" s="7" t="n">
        <v>60</v>
      </c>
      <c r="C15" s="3" t="inlineStr">
        <is>
          <t>FBSOX</t>
        </is>
      </c>
      <c r="D15" s="3" t="inlineStr">
        <is>
          <t>Enterprise Tech Services</t>
        </is>
      </c>
      <c r="E15" s="3" t="inlineStr">
        <is>
          <t>Information Technology</t>
        </is>
      </c>
      <c r="F15" s="5" t="n">
        <v>45.94</v>
      </c>
      <c r="G15" s="6" t="n">
        <v>0.01930328240016999</v>
      </c>
      <c r="H15" s="6" t="n">
        <v>-0.007989694139707515</v>
      </c>
      <c r="I15" s="6" t="n">
        <v>0.03143236826233609</v>
      </c>
      <c r="J15" s="6" t="n">
        <v>0.05077761537103087</v>
      </c>
      <c r="K15" s="6" t="n">
        <v>0.1450648018387373</v>
      </c>
      <c r="L15" s="6" t="n">
        <v>0.2600385181951754</v>
      </c>
      <c r="M15" s="6" t="n">
        <v>0.07279622323976764</v>
      </c>
      <c r="N15" s="6" t="n">
        <v>0.03231332607001747</v>
      </c>
      <c r="O15" s="6" t="n">
        <v>0.269964575029535</v>
      </c>
      <c r="P15" s="6" t="n">
        <v>0.08292206375181044</v>
      </c>
    </row>
    <row r="16">
      <c r="A16" s="3" t="n">
        <v>15</v>
      </c>
      <c r="B16" s="7" t="n">
        <v>57</v>
      </c>
      <c r="C16" s="3" t="inlineStr">
        <is>
          <t>FSMEX</t>
        </is>
      </c>
      <c r="D16" s="3" t="inlineStr">
        <is>
          <t>Medical Tech &amp; Devices</t>
        </is>
      </c>
      <c r="E16" s="3" t="inlineStr">
        <is>
          <t>Health Care</t>
        </is>
      </c>
      <c r="F16" s="5" t="n">
        <v>52.95</v>
      </c>
      <c r="G16" s="6" t="n">
        <v>0.003791483657620054</v>
      </c>
      <c r="H16" s="6" t="n">
        <v>-0.01561628812587379</v>
      </c>
      <c r="I16" s="6" t="n">
        <v>-0.01157362209103519</v>
      </c>
      <c r="J16" s="6" t="n">
        <v>0.07556370618105723</v>
      </c>
      <c r="K16" s="6" t="n">
        <v>0.2189227080311937</v>
      </c>
      <c r="L16" s="6" t="n">
        <v>0.1114126633636754</v>
      </c>
      <c r="M16" s="6" t="n">
        <v>-0.004791090033746892</v>
      </c>
      <c r="N16" s="6" t="n">
        <v>0.07485917399422393</v>
      </c>
      <c r="O16" s="6" t="n">
        <v>0.1514442862236229</v>
      </c>
      <c r="P16" s="6" t="n">
        <v>0.04812796782922302</v>
      </c>
    </row>
    <row r="17">
      <c r="A17" s="3" t="n">
        <v>16</v>
      </c>
      <c r="B17" s="7" t="n">
        <v>54</v>
      </c>
      <c r="C17" s="3" t="inlineStr">
        <is>
          <t>FWRLX</t>
        </is>
      </c>
      <c r="D17" s="3" t="inlineStr">
        <is>
          <t>Wireless</t>
        </is>
      </c>
      <c r="E17" s="3" t="inlineStr">
        <is>
          <t>Communication Services</t>
        </is>
      </c>
      <c r="F17" s="5" t="n">
        <v>14.98</v>
      </c>
      <c r="G17" s="6" t="n">
        <v>0.009433921038338067</v>
      </c>
      <c r="H17" s="6" t="n">
        <v>0.0006679542437646457</v>
      </c>
      <c r="I17" s="6" t="n">
        <v>0.005369122533839699</v>
      </c>
      <c r="J17" s="6" t="n">
        <v>0.04975466444966914</v>
      </c>
      <c r="K17" s="6" t="n">
        <v>-0.09101942000396746</v>
      </c>
      <c r="L17" s="6" t="n">
        <v>0.1888888165643838</v>
      </c>
      <c r="M17" s="6" t="n">
        <v>0.2600886637274673</v>
      </c>
      <c r="N17" s="6" t="n">
        <v>0.2968795796924908</v>
      </c>
      <c r="O17" s="6" t="n">
        <v>0.7936920496356643</v>
      </c>
      <c r="P17" s="6" t="n">
        <v>0.2150177645651059</v>
      </c>
    </row>
    <row r="18">
      <c r="A18" s="3" t="n">
        <v>17</v>
      </c>
      <c r="B18" s="7" t="n">
        <v>51</v>
      </c>
      <c r="C18" s="3" t="inlineStr">
        <is>
          <t>FSTCX</t>
        </is>
      </c>
      <c r="D18" s="3" t="inlineStr">
        <is>
          <t>Telecommunications</t>
        </is>
      </c>
      <c r="E18" s="3" t="inlineStr">
        <is>
          <t>Communication Services</t>
        </is>
      </c>
      <c r="F18" s="5" t="n">
        <v>70.90000000000001</v>
      </c>
      <c r="G18" s="6" t="n">
        <v>0.01069137539110843</v>
      </c>
      <c r="H18" s="6" t="n">
        <v>0.02634626008371121</v>
      </c>
      <c r="I18" s="6" t="n">
        <v>0.03337707178480676</v>
      </c>
      <c r="J18" s="6" t="n">
        <v>0.05931572094130289</v>
      </c>
      <c r="K18" s="6" t="n">
        <v>0.01765258894599708</v>
      </c>
      <c r="L18" s="6" t="n">
        <v>0.07200481634789746</v>
      </c>
      <c r="M18" s="6" t="n">
        <v>0.2190851461579719</v>
      </c>
      <c r="N18" s="6" t="n">
        <v>0.1959930842731306</v>
      </c>
      <c r="O18" s="6" t="n">
        <v>0.7802203885985499</v>
      </c>
      <c r="P18" s="6" t="n">
        <v>0.2119682894520076</v>
      </c>
    </row>
    <row r="19">
      <c r="A19" s="3" t="n">
        <v>18</v>
      </c>
      <c r="B19" s="7" t="n">
        <v>49</v>
      </c>
      <c r="C19" s="3" t="inlineStr">
        <is>
          <t>FSLBX</t>
        </is>
      </c>
      <c r="D19" s="3" t="inlineStr">
        <is>
          <t>Brokerage &amp; Inv Mgmt</t>
        </is>
      </c>
      <c r="E19" s="3" t="inlineStr">
        <is>
          <t>Financials</t>
        </is>
      </c>
      <c r="F19" s="5" t="n">
        <v>186.82</v>
      </c>
      <c r="G19" s="6" t="n">
        <v>0.02891446708280077</v>
      </c>
      <c r="H19" s="6" t="n">
        <v>0.002522142234017588</v>
      </c>
      <c r="I19" s="6" t="n">
        <v>0.03215473659789359</v>
      </c>
      <c r="J19" s="6" t="n">
        <v>0.04902022104467152</v>
      </c>
      <c r="K19" s="6" t="n">
        <v>0.1688669535378804</v>
      </c>
      <c r="L19" s="6" t="n">
        <v>0.1451772665293714</v>
      </c>
      <c r="M19" s="6" t="n">
        <v>0.003715821549403975</v>
      </c>
      <c r="N19" s="6" t="n">
        <v>-0.02554147656527817</v>
      </c>
      <c r="O19" s="6" t="n">
        <v>0.6483819424660735</v>
      </c>
      <c r="P19" s="6" t="n">
        <v>0.1812793608701202</v>
      </c>
    </row>
    <row r="20">
      <c r="A20" s="3" t="n">
        <v>19</v>
      </c>
      <c r="B20" s="7" t="n">
        <v>46</v>
      </c>
      <c r="C20" s="3" t="inlineStr">
        <is>
          <t>FDFAX</t>
        </is>
      </c>
      <c r="D20" s="3" t="inlineStr">
        <is>
          <t>Consumer Staples</t>
        </is>
      </c>
      <c r="E20" s="3" t="inlineStr">
        <is>
          <t>Consumer Staples</t>
        </is>
      </c>
      <c r="F20" s="5" t="n">
        <v>94.89</v>
      </c>
      <c r="G20" s="6" t="n">
        <v>-0.0009476096452315508</v>
      </c>
      <c r="H20" s="6" t="n">
        <v>0.002641589197086791</v>
      </c>
      <c r="I20" s="6" t="n">
        <v>0.001900541726489013</v>
      </c>
      <c r="J20" s="6" t="n">
        <v>0.01270013319278518</v>
      </c>
      <c r="K20" s="6" t="n">
        <v>0.06971120497584171</v>
      </c>
      <c r="L20" s="6" t="n">
        <v>0.02587362295965345</v>
      </c>
      <c r="M20" s="6" t="n">
        <v>0.1314194069551231</v>
      </c>
      <c r="N20" s="6" t="n">
        <v>0.1270384912677189</v>
      </c>
      <c r="O20" s="6" t="n">
        <v>0.1722660886812724</v>
      </c>
      <c r="P20" s="6" t="n">
        <v>0.05440810106055083</v>
      </c>
    </row>
    <row r="21">
      <c r="A21" s="3" t="n">
        <v>20</v>
      </c>
      <c r="B21" s="7" t="n">
        <v>43</v>
      </c>
      <c r="C21" s="3" t="inlineStr">
        <is>
          <t>FSVLX</t>
        </is>
      </c>
      <c r="D21" s="3" t="inlineStr">
        <is>
          <t>FinTech</t>
        </is>
      </c>
      <c r="E21" s="3" t="inlineStr">
        <is>
          <t>Financials</t>
        </is>
      </c>
      <c r="F21" s="5" t="n">
        <v>17.99</v>
      </c>
      <c r="G21" s="6" t="n">
        <v>0.0123803774725495</v>
      </c>
      <c r="H21" s="6" t="n">
        <v>-0.01262346602108533</v>
      </c>
      <c r="I21" s="6" t="n">
        <v>0.01181097167394296</v>
      </c>
      <c r="J21" s="6" t="n">
        <v>0.05020435799677392</v>
      </c>
      <c r="K21" s="6" t="n">
        <v>0.2122641230553464</v>
      </c>
      <c r="L21" s="6" t="n">
        <v>0.1414974308280543</v>
      </c>
      <c r="M21" s="6" t="n">
        <v>-0.05116030380765557</v>
      </c>
      <c r="N21" s="6" t="n">
        <v>-0.09643395735854343</v>
      </c>
      <c r="O21" s="6" t="n">
        <v>0.206572766950138</v>
      </c>
      <c r="P21" s="6" t="n">
        <v>0.06459520626867654</v>
      </c>
    </row>
    <row r="22">
      <c r="A22" s="3" t="n">
        <v>21</v>
      </c>
      <c r="B22" s="7" t="n">
        <v>40</v>
      </c>
      <c r="C22" s="3" t="inlineStr">
        <is>
          <t>FSDPX</t>
        </is>
      </c>
      <c r="D22" s="3" t="inlineStr">
        <is>
          <t>Materials</t>
        </is>
      </c>
      <c r="E22" s="3" t="inlineStr">
        <is>
          <t>Materials</t>
        </is>
      </c>
      <c r="F22" s="5" t="n">
        <v>103.57</v>
      </c>
      <c r="G22" s="6" t="n">
        <v>-0.002792229095157972</v>
      </c>
      <c r="H22" s="6" t="n">
        <v>-0.01192520514824735</v>
      </c>
      <c r="I22" s="6" t="n">
        <v>0.01221657548600663</v>
      </c>
      <c r="J22" s="6" t="n">
        <v>0.0614943119685003</v>
      </c>
      <c r="K22" s="6" t="n">
        <v>-0.0002895635109914085</v>
      </c>
      <c r="L22" s="6" t="n">
        <v>0.01168814928159256</v>
      </c>
      <c r="M22" s="6" t="n">
        <v>0.1934188074011494</v>
      </c>
      <c r="N22" s="6" t="n">
        <v>0.171956377903921</v>
      </c>
      <c r="O22" s="6" t="n">
        <v>0.222414725101536</v>
      </c>
      <c r="P22" s="6" t="n">
        <v>0.06923423974222209</v>
      </c>
    </row>
    <row r="23">
      <c r="A23" s="3" t="n">
        <v>22</v>
      </c>
      <c r="B23" s="7" t="n">
        <v>37</v>
      </c>
      <c r="C23" s="3" t="inlineStr">
        <is>
          <t>FSRFX</t>
        </is>
      </c>
      <c r="D23" s="3" t="inlineStr">
        <is>
          <t>Transportation</t>
        </is>
      </c>
      <c r="E23" s="3" t="inlineStr">
        <is>
          <t>Industrials</t>
        </is>
      </c>
      <c r="F23" s="5" t="n">
        <v>117.85</v>
      </c>
      <c r="G23" s="6" t="n">
        <v>0.005031522489699292</v>
      </c>
      <c r="H23" s="6" t="n">
        <v>-0.02948202109904874</v>
      </c>
      <c r="I23" s="6" t="n">
        <v>-0.02587208460870916</v>
      </c>
      <c r="J23" s="6" t="n">
        <v>-0.03591295374972825</v>
      </c>
      <c r="K23" s="6" t="n">
        <v>-0.006909915795707877</v>
      </c>
      <c r="L23" s="6" t="n">
        <v>0.03234391354015664</v>
      </c>
      <c r="M23" s="6" t="n">
        <v>0.1424660044873722</v>
      </c>
      <c r="N23" s="6" t="n">
        <v>0.2138565956958591</v>
      </c>
      <c r="O23" s="6" t="n">
        <v>0.4273315803280615</v>
      </c>
      <c r="P23" s="6" t="n">
        <v>0.1259219649656378</v>
      </c>
    </row>
    <row r="24">
      <c r="A24" s="3" t="n">
        <v>23</v>
      </c>
      <c r="B24" s="7" t="n">
        <v>34</v>
      </c>
      <c r="C24" s="3" t="inlineStr">
        <is>
          <t>FRESX</t>
        </is>
      </c>
      <c r="D24" s="3" t="inlineStr">
        <is>
          <t>Real Estate Investment</t>
        </is>
      </c>
      <c r="E24" s="3" t="inlineStr">
        <is>
          <t>Real Estate</t>
        </is>
      </c>
      <c r="F24" s="5" t="n">
        <v>42.66</v>
      </c>
      <c r="G24" s="6" t="n">
        <v>0.01114010988389991</v>
      </c>
      <c r="H24" s="6" t="n">
        <v>-0.01112655421945841</v>
      </c>
      <c r="I24" s="6" t="n">
        <v>-0.01998619242549904</v>
      </c>
      <c r="J24" s="6" t="n">
        <v>-0.02335165866843658</v>
      </c>
      <c r="K24" s="6" t="n">
        <v>0.0317896065243648</v>
      </c>
      <c r="L24" s="6" t="n">
        <v>0.03452976895138615</v>
      </c>
      <c r="M24" s="6" t="n">
        <v>0.1233319749226063</v>
      </c>
      <c r="N24" s="6" t="n">
        <v>0.134539173033851</v>
      </c>
      <c r="O24" s="6" t="n">
        <v>0.339068075895264</v>
      </c>
      <c r="P24" s="6" t="n">
        <v>0.1022181345956459</v>
      </c>
    </row>
    <row r="25">
      <c r="A25" s="3" t="n">
        <v>24</v>
      </c>
      <c r="B25" s="7" t="n">
        <v>31</v>
      </c>
      <c r="C25" s="3" t="inlineStr">
        <is>
          <t>FSCHX</t>
        </is>
      </c>
      <c r="D25" s="3" t="inlineStr">
        <is>
          <t>Chemicals</t>
        </is>
      </c>
      <c r="E25" s="3" t="inlineStr">
        <is>
          <t>Materials</t>
        </is>
      </c>
      <c r="F25" s="5" t="n">
        <v>13.91</v>
      </c>
      <c r="G25" s="6" t="n">
        <v>-0.006428582327706489</v>
      </c>
      <c r="H25" s="6" t="n">
        <v>-0.002867380817199727</v>
      </c>
      <c r="I25" s="6" t="n">
        <v>0.001439849070915988</v>
      </c>
      <c r="J25" s="6" t="n">
        <v>0.0007194409464950091</v>
      </c>
      <c r="K25" s="6" t="n">
        <v>0.01016698511215397</v>
      </c>
      <c r="L25" s="6" t="n">
        <v>0.006531551938669944</v>
      </c>
      <c r="M25" s="6" t="n">
        <v>0.1897296737783052</v>
      </c>
      <c r="N25" s="6" t="n">
        <v>0.09604308518672422</v>
      </c>
      <c r="O25" s="6" t="n">
        <v>0.0547937359578432</v>
      </c>
      <c r="P25" s="6" t="n">
        <v>0.01794078211331973</v>
      </c>
    </row>
    <row r="26">
      <c r="A26" s="3" t="n">
        <v>25</v>
      </c>
      <c r="B26" s="8" t="n">
        <v>28</v>
      </c>
      <c r="C26" s="3" t="inlineStr">
        <is>
          <t>FSDAX</t>
        </is>
      </c>
      <c r="D26" s="3" t="inlineStr">
        <is>
          <t>Defense and Aerospace</t>
        </is>
      </c>
      <c r="E26" s="3" t="inlineStr">
        <is>
          <t>Industrials</t>
        </is>
      </c>
      <c r="F26" s="5" t="n">
        <v>27.45</v>
      </c>
      <c r="G26" s="6" t="n">
        <v>0.01254150294847522</v>
      </c>
      <c r="H26" s="6" t="n">
        <v>-0.03481011788071575</v>
      </c>
      <c r="I26" s="6" t="n">
        <v>-0.04753639647438312</v>
      </c>
      <c r="J26" s="6" t="n">
        <v>-0.08712999529347287</v>
      </c>
      <c r="K26" s="6" t="n">
        <v>0.01142230583134252</v>
      </c>
      <c r="L26" s="6" t="n">
        <v>-0.05230616904524543</v>
      </c>
      <c r="M26" s="6" t="n">
        <v>0.1363800817370231</v>
      </c>
      <c r="N26" s="6" t="n">
        <v>0.1503578475719136</v>
      </c>
      <c r="O26" s="6" t="n">
        <v>1.049156410767717</v>
      </c>
      <c r="P26" s="6" t="n">
        <v>0.2701598184324046</v>
      </c>
    </row>
    <row r="27">
      <c r="A27" s="3" t="n">
        <v>26</v>
      </c>
      <c r="B27" s="8" t="n">
        <v>25</v>
      </c>
      <c r="C27" s="3" t="inlineStr">
        <is>
          <t>FIDRX</t>
        </is>
      </c>
      <c r="D27" s="3" t="inlineStr">
        <is>
          <t>Industrials</t>
        </is>
      </c>
      <c r="E27" s="3" t="inlineStr">
        <is>
          <t>Industrials</t>
        </is>
      </c>
      <c r="F27" s="5" t="n">
        <v>69.31</v>
      </c>
      <c r="G27" s="6" t="n">
        <v>0.01108671733044431</v>
      </c>
      <c r="H27" s="6" t="n">
        <v>-0.028182867986977</v>
      </c>
      <c r="I27" s="6" t="n">
        <v>-0.03682603612554403</v>
      </c>
      <c r="J27" s="6" t="n">
        <v>-0.06565115565579516</v>
      </c>
      <c r="K27" s="6" t="n">
        <v>-0.003164119438595958</v>
      </c>
      <c r="L27" s="6" t="n">
        <v>0.0007218512968703017</v>
      </c>
      <c r="M27" s="6" t="n">
        <v>0.1458778744385456</v>
      </c>
      <c r="N27" s="6" t="inlineStr"/>
      <c r="O27" s="6" t="inlineStr"/>
      <c r="P27" s="6" t="inlineStr"/>
    </row>
    <row r="28">
      <c r="A28" s="3" t="n">
        <v>27</v>
      </c>
      <c r="B28" s="8" t="n">
        <v>22</v>
      </c>
      <c r="C28" s="3" t="inlineStr">
        <is>
          <t>FSLEX</t>
        </is>
      </c>
      <c r="D28" s="3" t="inlineStr">
        <is>
          <t>Environment &amp; Alt Energy</t>
        </is>
      </c>
      <c r="E28" s="3" t="inlineStr">
        <is>
          <t>Energy</t>
        </is>
      </c>
      <c r="F28" s="5" t="n">
        <v>51.47</v>
      </c>
      <c r="G28" s="6" t="n">
        <v>0.01518738552616594</v>
      </c>
      <c r="H28" s="6" t="n">
        <v>-0.01322850131762832</v>
      </c>
      <c r="I28" s="6" t="n">
        <v>-0.0007764919847290663</v>
      </c>
      <c r="J28" s="6" t="n">
        <v>-0.01643417886985821</v>
      </c>
      <c r="K28" s="6" t="n">
        <v>-0.0576711419403344</v>
      </c>
      <c r="L28" s="6" t="n">
        <v>0.05087950701343025</v>
      </c>
      <c r="M28" s="6" t="n">
        <v>0.09941205210080795</v>
      </c>
      <c r="N28" s="6" t="n">
        <v>0.1852648060679702</v>
      </c>
      <c r="O28" s="6" t="n">
        <v>0.6913140873792729</v>
      </c>
      <c r="P28" s="6" t="n">
        <v>0.1914470749890909</v>
      </c>
    </row>
    <row r="29">
      <c r="A29" s="3" t="n">
        <v>28</v>
      </c>
      <c r="B29" s="8" t="n">
        <v>19</v>
      </c>
      <c r="C29" s="3" t="inlineStr">
        <is>
          <t>FSRPX</t>
        </is>
      </c>
      <c r="D29" s="3" t="inlineStr">
        <is>
          <t>Retailing</t>
        </is>
      </c>
      <c r="E29" s="3" t="inlineStr">
        <is>
          <t>Consumer Discretionary</t>
        </is>
      </c>
      <c r="F29" s="5" t="n">
        <v>17.38</v>
      </c>
      <c r="G29" s="6" t="n">
        <v>0.006952429333341836</v>
      </c>
      <c r="H29" s="6" t="n">
        <v>0.0005756085808943379</v>
      </c>
      <c r="I29" s="6" t="n">
        <v>-0.009122106408734565</v>
      </c>
      <c r="J29" s="6" t="n">
        <v>-0.05697238887805678</v>
      </c>
      <c r="K29" s="6" t="n">
        <v>0.01046502266528893</v>
      </c>
      <c r="L29" s="6" t="n">
        <v>0.01794573949972977</v>
      </c>
      <c r="M29" s="6" t="n">
        <v>0.02869223986985725</v>
      </c>
      <c r="N29" s="6" t="n">
        <v>0.03892281417891286</v>
      </c>
      <c r="O29" s="6" t="n">
        <v>0.4149722727781284</v>
      </c>
      <c r="P29" s="6" t="n">
        <v>0.1226627420394877</v>
      </c>
    </row>
    <row r="30">
      <c r="A30" s="3" t="n">
        <v>29</v>
      </c>
      <c r="B30" s="8" t="n">
        <v>16</v>
      </c>
      <c r="C30" s="3" t="inlineStr">
        <is>
          <t>FDLSX</t>
        </is>
      </c>
      <c r="D30" s="3" t="inlineStr">
        <is>
          <t>Leisure</t>
        </is>
      </c>
      <c r="E30" s="3" t="inlineStr">
        <is>
          <t>Consumer Discretionary</t>
        </is>
      </c>
      <c r="F30" s="5" t="n">
        <v>16.49</v>
      </c>
      <c r="G30" s="6" t="n">
        <v>-0.004227034847928635</v>
      </c>
      <c r="H30" s="6" t="n">
        <v>-0.03000001346363745</v>
      </c>
      <c r="I30" s="6" t="n">
        <v>-0.04127912560045444</v>
      </c>
      <c r="J30" s="6" t="n">
        <v>-0.01961949641459271</v>
      </c>
      <c r="K30" s="6" t="n">
        <v>0.06800519554863849</v>
      </c>
      <c r="L30" s="6" t="n">
        <v>0.04252667541477329</v>
      </c>
      <c r="M30" s="6" t="n">
        <v>0.005180122439891743</v>
      </c>
      <c r="N30" s="6" t="n">
        <v>-0.0895859929388888</v>
      </c>
      <c r="O30" s="6" t="n">
        <v>0.2845062968675121</v>
      </c>
      <c r="P30" s="6" t="n">
        <v>0.08703971801425459</v>
      </c>
    </row>
    <row r="31">
      <c r="A31" s="3" t="n">
        <v>30</v>
      </c>
      <c r="B31" s="8" t="n">
        <v>13</v>
      </c>
      <c r="C31" s="3" t="inlineStr">
        <is>
          <t>FSCPX</t>
        </is>
      </c>
      <c r="D31" s="3" t="inlineStr">
        <is>
          <t>Consumer Discretionary</t>
        </is>
      </c>
      <c r="E31" s="3" t="inlineStr">
        <is>
          <t>Consumer Discretionary</t>
        </is>
      </c>
      <c r="F31" s="5" t="n">
        <v>64.28</v>
      </c>
      <c r="G31" s="6" t="n">
        <v>0.01468035244792776</v>
      </c>
      <c r="H31" s="6" t="n">
        <v>0.007997464605178806</v>
      </c>
      <c r="I31" s="6" t="n">
        <v>-0.007412034297402448</v>
      </c>
      <c r="J31" s="6" t="n">
        <v>-0.03526937672206709</v>
      </c>
      <c r="K31" s="6" t="n">
        <v>-0.01997252068509381</v>
      </c>
      <c r="L31" s="6" t="n">
        <v>0.01319827403023033</v>
      </c>
      <c r="M31" s="6" t="n">
        <v>-0.02387587630729238</v>
      </c>
      <c r="N31" s="6" t="n">
        <v>0.02121491891365124</v>
      </c>
      <c r="O31" s="6" t="n">
        <v>0.4120777423872728</v>
      </c>
      <c r="P31" s="6" t="n">
        <v>0.121896696456993</v>
      </c>
    </row>
    <row r="32">
      <c r="A32" s="3" t="n">
        <v>31</v>
      </c>
      <c r="B32" s="8" t="n">
        <v>10</v>
      </c>
      <c r="C32" s="3" t="inlineStr">
        <is>
          <t>FSAVX</t>
        </is>
      </c>
      <c r="D32" s="3" t="inlineStr">
        <is>
          <t>Automotive</t>
        </is>
      </c>
      <c r="E32" s="3" t="inlineStr">
        <is>
          <t>Consumer Discretionary</t>
        </is>
      </c>
      <c r="F32" s="5" t="n">
        <v>55.43</v>
      </c>
      <c r="G32" s="6" t="n">
        <v>0.01799815479347711</v>
      </c>
      <c r="H32" s="6" t="n">
        <v>0.0161320088070207</v>
      </c>
      <c r="I32" s="6" t="n">
        <v>0.009837874321951379</v>
      </c>
      <c r="J32" s="6" t="n">
        <v>0.02081033303853141</v>
      </c>
      <c r="K32" s="6" t="n">
        <v>-0.01282281747350056</v>
      </c>
      <c r="L32" s="6" t="n">
        <v>-0.001294960102706022</v>
      </c>
      <c r="M32" s="6" t="n">
        <v>-0.01081405453352891</v>
      </c>
      <c r="N32" s="6" t="n">
        <v>0.005041794542151701</v>
      </c>
      <c r="O32" s="6" t="n">
        <v>0.2247039432207498</v>
      </c>
      <c r="P32" s="6" t="n">
        <v>0.06990127578406868</v>
      </c>
    </row>
    <row r="33">
      <c r="A33" s="3" t="n">
        <v>32</v>
      </c>
      <c r="B33" s="8" t="n">
        <v>7</v>
      </c>
      <c r="C33" s="3" t="inlineStr">
        <is>
          <t>FSUTX</t>
        </is>
      </c>
      <c r="D33" s="3" t="inlineStr">
        <is>
          <t>Utilities</t>
        </is>
      </c>
      <c r="E33" s="3" t="inlineStr">
        <is>
          <t>Utilities</t>
        </is>
      </c>
      <c r="F33" s="5" t="n">
        <v>127.85</v>
      </c>
      <c r="G33" s="6" t="n">
        <v>0.009076571062181626</v>
      </c>
      <c r="H33" s="6" t="n">
        <v>-0.002730097367025675</v>
      </c>
      <c r="I33" s="6" t="n">
        <v>-0.01623582741413443</v>
      </c>
      <c r="J33" s="6" t="n">
        <v>-0.04196327165367431</v>
      </c>
      <c r="K33" s="6" t="n">
        <v>-0.04171783301933008</v>
      </c>
      <c r="L33" s="6" t="n">
        <v>-0.09288978410225213</v>
      </c>
      <c r="M33" s="6" t="n">
        <v>-0.02660277321600679</v>
      </c>
      <c r="N33" s="6" t="n">
        <v>0.04229686831170421</v>
      </c>
      <c r="O33" s="6" t="n">
        <v>0.5278722833343803</v>
      </c>
      <c r="P33" s="6" t="n">
        <v>0.1517609526356167</v>
      </c>
    </row>
    <row r="34">
      <c r="A34" s="3" t="n">
        <v>33</v>
      </c>
      <c r="B34" s="8" t="n">
        <v>4</v>
      </c>
      <c r="C34" s="3" t="inlineStr">
        <is>
          <t>FSHOX</t>
        </is>
      </c>
      <c r="D34" s="3" t="inlineStr">
        <is>
          <t>Construction &amp; Housing</t>
        </is>
      </c>
      <c r="E34" s="3" t="inlineStr">
        <is>
          <t>Consumer Discretionary</t>
        </is>
      </c>
      <c r="F34" s="5" t="n">
        <v>115.99</v>
      </c>
      <c r="G34" s="6" t="n">
        <v>0.00843332680414921</v>
      </c>
      <c r="H34" s="6" t="n">
        <v>-0.02250131228668106</v>
      </c>
      <c r="I34" s="6" t="n">
        <v>-0.04219653736365292</v>
      </c>
      <c r="J34" s="6" t="n">
        <v>-0.06263132482459144</v>
      </c>
      <c r="K34" s="6" t="n">
        <v>-0.05345195856717055</v>
      </c>
      <c r="L34" s="6" t="n">
        <v>-0.08483892865464948</v>
      </c>
      <c r="M34" s="6" t="n">
        <v>-0.02758820073600687</v>
      </c>
      <c r="N34" s="6" t="n">
        <v>-0.04589009622407458</v>
      </c>
      <c r="O34" s="6" t="n">
        <v>0.2835212541951986</v>
      </c>
      <c r="P34" s="6" t="n">
        <v>0.08676177611998837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K82"/>
  <sheetViews>
    <sheetView workbookViewId="0">
      <selection activeCell="A1" sqref="A1"/>
    </sheetView>
  </sheetViews>
  <sheetFormatPr baseColWidth="8" defaultRowHeight="15"/>
  <cols>
    <col width="50" customWidth="1" min="1" max="1"/>
    <col width="17" customWidth="1" min="2" max="2"/>
    <col width="26" customWidth="1" min="3" max="3"/>
    <col width="24" customWidth="1" min="4" max="4"/>
    <col width="24" customWidth="1" min="5" max="5"/>
    <col width="11" customWidth="1" min="6" max="6"/>
    <col width="18" customWidth="1" min="7" max="7"/>
    <col width="20" customWidth="1" min="8" max="8"/>
    <col width="26" customWidth="1" min="9" max="9"/>
    <col width="24" customWidth="1" min="10" max="10"/>
    <col width="27" customWidth="1" min="11" max="11"/>
  </cols>
  <sheetData>
    <row r="1">
      <c r="A1" s="9">
        <f>== IBD RELATIVE STRENGTH LEADERS &amp; LAGGARDS ===</f>
        <v/>
      </c>
    </row>
    <row r="2">
      <c r="A2" s="10" t="inlineStr">
        <is>
          <t>Top 10 - Rank</t>
        </is>
      </c>
      <c r="B2" s="10" t="inlineStr">
        <is>
          <t>Top 10 - Ticker</t>
        </is>
      </c>
      <c r="C2" s="10" t="inlineStr">
        <is>
          <t>Top 10 - Fund Name</t>
        </is>
      </c>
      <c r="D2" s="10" t="inlineStr">
        <is>
          <t>Top 10 - Sector</t>
        </is>
      </c>
      <c r="E2" s="10" t="inlineStr">
        <is>
          <t>Top 10 - IBD_RS_Rating</t>
        </is>
      </c>
      <c r="F2" t="inlineStr"/>
      <c r="G2" s="10" t="inlineStr">
        <is>
          <t>Bottom 10 - Rank</t>
        </is>
      </c>
      <c r="H2" s="10" t="inlineStr">
        <is>
          <t>Bottom 10 - Ticker</t>
        </is>
      </c>
      <c r="I2" s="10" t="inlineStr">
        <is>
          <t>Bottom 10 - Fund Name</t>
        </is>
      </c>
      <c r="J2" s="10" t="inlineStr">
        <is>
          <t>Bottom 10 - Sector</t>
        </is>
      </c>
      <c r="K2" s="10" t="inlineStr">
        <is>
          <t>Bottom 10 - IBD_RS_Rating</t>
        </is>
      </c>
    </row>
    <row r="3">
      <c r="A3" t="n">
        <v>1</v>
      </c>
      <c r="B3" t="inlineStr">
        <is>
          <t>FDCPX</t>
        </is>
      </c>
      <c r="C3" t="inlineStr">
        <is>
          <t>Tech Hardware</t>
        </is>
      </c>
      <c r="D3" t="inlineStr">
        <is>
          <t>Information Technology</t>
        </is>
      </c>
      <c r="E3" t="n">
        <v>99</v>
      </c>
      <c r="F3" t="inlineStr"/>
      <c r="G3" t="n">
        <v>24</v>
      </c>
      <c r="H3" t="inlineStr">
        <is>
          <t>FSHOX</t>
        </is>
      </c>
      <c r="I3" t="inlineStr">
        <is>
          <t>Construction &amp; Housing</t>
        </is>
      </c>
      <c r="J3" t="inlineStr">
        <is>
          <t>Consumer Discretionary</t>
        </is>
      </c>
      <c r="K3" t="n">
        <v>4</v>
      </c>
    </row>
    <row r="4">
      <c r="A4" t="n">
        <v>2</v>
      </c>
      <c r="B4" t="inlineStr">
        <is>
          <t>FBIOX</t>
        </is>
      </c>
      <c r="C4" t="inlineStr">
        <is>
          <t>Biotechnology</t>
        </is>
      </c>
      <c r="D4" t="inlineStr">
        <is>
          <t>Health Care</t>
        </is>
      </c>
      <c r="E4" t="n">
        <v>96</v>
      </c>
      <c r="F4" t="inlineStr"/>
      <c r="G4" t="n">
        <v>25</v>
      </c>
      <c r="H4" t="inlineStr">
        <is>
          <t>FSUTX</t>
        </is>
      </c>
      <c r="I4" t="inlineStr">
        <is>
          <t>Utilities</t>
        </is>
      </c>
      <c r="J4" t="inlineStr">
        <is>
          <t>Utilities</t>
        </is>
      </c>
      <c r="K4" t="n">
        <v>7</v>
      </c>
    </row>
    <row r="5">
      <c r="A5" t="n">
        <v>3</v>
      </c>
      <c r="B5" t="inlineStr">
        <is>
          <t>FSENX</t>
        </is>
      </c>
      <c r="C5" t="inlineStr">
        <is>
          <t>Energy</t>
        </is>
      </c>
      <c r="D5" t="inlineStr">
        <is>
          <t>Energy</t>
        </is>
      </c>
      <c r="E5" t="n">
        <v>93</v>
      </c>
      <c r="F5" t="inlineStr"/>
      <c r="G5" t="n">
        <v>26</v>
      </c>
      <c r="H5" t="inlineStr">
        <is>
          <t>FSAVX</t>
        </is>
      </c>
      <c r="I5" t="inlineStr">
        <is>
          <t>Automotive</t>
        </is>
      </c>
      <c r="J5" t="inlineStr">
        <is>
          <t>Consumer Discretionary</t>
        </is>
      </c>
      <c r="K5" t="n">
        <v>10</v>
      </c>
    </row>
    <row r="6">
      <c r="A6" t="n">
        <v>4</v>
      </c>
      <c r="B6" t="inlineStr">
        <is>
          <t>FSELX</t>
        </is>
      </c>
      <c r="C6" t="inlineStr">
        <is>
          <t>Semiconductors</t>
        </is>
      </c>
      <c r="D6" t="inlineStr">
        <is>
          <t>Information Technology</t>
        </is>
      </c>
      <c r="E6" t="n">
        <v>90</v>
      </c>
      <c r="F6" t="inlineStr"/>
      <c r="G6" t="n">
        <v>27</v>
      </c>
      <c r="H6" t="inlineStr">
        <is>
          <t>FSCPX</t>
        </is>
      </c>
      <c r="I6" t="inlineStr">
        <is>
          <t>Consumer Discretionary</t>
        </is>
      </c>
      <c r="J6" t="inlineStr">
        <is>
          <t>Consumer Discretionary</t>
        </is>
      </c>
      <c r="K6" t="n">
        <v>13</v>
      </c>
    </row>
    <row r="7">
      <c r="A7" t="n">
        <v>5</v>
      </c>
      <c r="B7" t="inlineStr">
        <is>
          <t>FSAGX</t>
        </is>
      </c>
      <c r="C7" t="inlineStr">
        <is>
          <t>Gold</t>
        </is>
      </c>
      <c r="D7" t="inlineStr">
        <is>
          <t>Materials</t>
        </is>
      </c>
      <c r="E7" t="n">
        <v>87</v>
      </c>
      <c r="F7" t="inlineStr"/>
      <c r="G7" t="n">
        <v>28</v>
      </c>
      <c r="H7" t="inlineStr">
        <is>
          <t>FDLSX</t>
        </is>
      </c>
      <c r="I7" t="inlineStr">
        <is>
          <t>Leisure</t>
        </is>
      </c>
      <c r="J7" t="inlineStr">
        <is>
          <t>Consumer Discretionary</t>
        </is>
      </c>
      <c r="K7" t="n">
        <v>16</v>
      </c>
    </row>
    <row r="8">
      <c r="A8" t="n">
        <v>6</v>
      </c>
      <c r="B8" t="inlineStr">
        <is>
          <t>FSPHX</t>
        </is>
      </c>
      <c r="C8" t="inlineStr">
        <is>
          <t>Health Care</t>
        </is>
      </c>
      <c r="D8" t="inlineStr">
        <is>
          <t>Health Care</t>
        </is>
      </c>
      <c r="E8" t="n">
        <v>84</v>
      </c>
      <c r="F8" t="inlineStr"/>
      <c r="G8" t="n">
        <v>29</v>
      </c>
      <c r="H8" t="inlineStr">
        <is>
          <t>FSRPX</t>
        </is>
      </c>
      <c r="I8" t="inlineStr">
        <is>
          <t>Retailing</t>
        </is>
      </c>
      <c r="J8" t="inlineStr">
        <is>
          <t>Consumer Discretionary</t>
        </is>
      </c>
      <c r="K8" t="n">
        <v>19</v>
      </c>
    </row>
    <row r="9">
      <c r="A9" t="n">
        <v>7</v>
      </c>
      <c r="B9" t="inlineStr">
        <is>
          <t>FSPTX</t>
        </is>
      </c>
      <c r="C9" t="inlineStr">
        <is>
          <t>Technology</t>
        </is>
      </c>
      <c r="D9" t="inlineStr">
        <is>
          <t>Information Technology</t>
        </is>
      </c>
      <c r="E9" t="n">
        <v>81</v>
      </c>
      <c r="F9" t="inlineStr"/>
      <c r="G9" t="n">
        <v>30</v>
      </c>
      <c r="H9" t="inlineStr">
        <is>
          <t>FSLEX</t>
        </is>
      </c>
      <c r="I9" t="inlineStr">
        <is>
          <t>Environment &amp; Alt Energy</t>
        </is>
      </c>
      <c r="J9" t="inlineStr">
        <is>
          <t>Energy</t>
        </is>
      </c>
      <c r="K9" t="n">
        <v>22</v>
      </c>
    </row>
    <row r="10">
      <c r="A10" t="n">
        <v>8</v>
      </c>
      <c r="B10" t="inlineStr">
        <is>
          <t>FPHAX</t>
        </is>
      </c>
      <c r="C10" t="inlineStr">
        <is>
          <t>Pharmaceuticals</t>
        </is>
      </c>
      <c r="D10" t="inlineStr">
        <is>
          <t>Health Care</t>
        </is>
      </c>
      <c r="E10" t="n">
        <v>78</v>
      </c>
      <c r="F10" t="inlineStr"/>
      <c r="G10" t="n">
        <v>31</v>
      </c>
      <c r="H10" t="inlineStr">
        <is>
          <t>FIDRX</t>
        </is>
      </c>
      <c r="I10" t="inlineStr">
        <is>
          <t>Industrials</t>
        </is>
      </c>
      <c r="J10" t="inlineStr">
        <is>
          <t>Industrials</t>
        </is>
      </c>
      <c r="K10" t="n">
        <v>25</v>
      </c>
    </row>
    <row r="11">
      <c r="A11" t="n">
        <v>9</v>
      </c>
      <c r="B11" t="inlineStr">
        <is>
          <t>FIDSX</t>
        </is>
      </c>
      <c r="C11" t="inlineStr">
        <is>
          <t>Financials</t>
        </is>
      </c>
      <c r="D11" t="inlineStr">
        <is>
          <t>Financials</t>
        </is>
      </c>
      <c r="E11" t="n">
        <v>75</v>
      </c>
      <c r="F11" t="inlineStr"/>
      <c r="G11" t="n">
        <v>32</v>
      </c>
      <c r="H11" t="inlineStr">
        <is>
          <t>FSDAX</t>
        </is>
      </c>
      <c r="I11" t="inlineStr">
        <is>
          <t>Defense and Aerospace</t>
        </is>
      </c>
      <c r="J11" t="inlineStr">
        <is>
          <t>Industrials</t>
        </is>
      </c>
      <c r="K11" t="n">
        <v>28</v>
      </c>
    </row>
    <row r="12">
      <c r="A12" t="n">
        <v>10</v>
      </c>
      <c r="B12" t="inlineStr">
        <is>
          <t>FSRBX</t>
        </is>
      </c>
      <c r="C12" t="inlineStr">
        <is>
          <t>Banking</t>
        </is>
      </c>
      <c r="D12" t="inlineStr">
        <is>
          <t>Financials</t>
        </is>
      </c>
      <c r="E12" t="n">
        <v>72</v>
      </c>
      <c r="F12" t="inlineStr"/>
      <c r="G12" t="n">
        <v>33</v>
      </c>
      <c r="H12" t="inlineStr">
        <is>
          <t>FSCHX</t>
        </is>
      </c>
      <c r="I12" t="inlineStr">
        <is>
          <t>Chemicals</t>
        </is>
      </c>
      <c r="J12" t="inlineStr">
        <is>
          <t>Materials</t>
        </is>
      </c>
      <c r="K12" t="n">
        <v>31</v>
      </c>
    </row>
    <row r="13"/>
    <row r="14"/>
    <row r="15">
      <c r="A15" s="9">
        <f>== PAST 1 MONTH LEADERS &amp; LAGGARDS ===</f>
        <v/>
      </c>
    </row>
    <row r="16">
      <c r="A16" s="10" t="inlineStr">
        <is>
          <t>Top 10 - Rank</t>
        </is>
      </c>
      <c r="B16" s="10" t="inlineStr">
        <is>
          <t>Top 10 - Ticker</t>
        </is>
      </c>
      <c r="C16" s="10" t="inlineStr">
        <is>
          <t>Top 10 - Fund Name</t>
        </is>
      </c>
      <c r="D16" s="10" t="inlineStr">
        <is>
          <t>Top 10 - Sector</t>
        </is>
      </c>
      <c r="E16" s="10" t="inlineStr">
        <is>
          <t>Top 10 - 1M</t>
        </is>
      </c>
      <c r="F16" t="inlineStr"/>
      <c r="G16" s="10" t="inlineStr">
        <is>
          <t>Bottom 10 - Rank</t>
        </is>
      </c>
      <c r="H16" s="10" t="inlineStr">
        <is>
          <t>Bottom 10 - Ticker</t>
        </is>
      </c>
      <c r="I16" s="10" t="inlineStr">
        <is>
          <t>Bottom 10 - Fund Name</t>
        </is>
      </c>
      <c r="J16" s="10" t="inlineStr">
        <is>
          <t>Bottom 10 - Sector</t>
        </is>
      </c>
      <c r="K16" s="10" t="inlineStr">
        <is>
          <t>Bottom 10 - 1M</t>
        </is>
      </c>
    </row>
    <row r="17">
      <c r="A17" t="n">
        <v>1</v>
      </c>
      <c r="B17" t="inlineStr">
        <is>
          <t>FSAGX</t>
        </is>
      </c>
      <c r="C17" t="inlineStr">
        <is>
          <t>Gold</t>
        </is>
      </c>
      <c r="D17" t="inlineStr">
        <is>
          <t>Materials</t>
        </is>
      </c>
      <c r="E17" s="11" t="n">
        <v>0.3554907061149115</v>
      </c>
      <c r="F17" t="inlineStr"/>
      <c r="G17" t="n">
        <v>24</v>
      </c>
      <c r="H17" t="inlineStr">
        <is>
          <t>FSDAX</t>
        </is>
      </c>
      <c r="I17" t="inlineStr">
        <is>
          <t>Defense and Aerospace</t>
        </is>
      </c>
      <c r="J17" t="inlineStr">
        <is>
          <t>Industrials</t>
        </is>
      </c>
      <c r="K17" s="11" t="n">
        <v>-0.08712999529347287</v>
      </c>
    </row>
    <row r="18">
      <c r="A18" t="n">
        <v>2</v>
      </c>
      <c r="B18" t="inlineStr">
        <is>
          <t>FBIOX</t>
        </is>
      </c>
      <c r="C18" t="inlineStr">
        <is>
          <t>Biotechnology</t>
        </is>
      </c>
      <c r="D18" t="inlineStr">
        <is>
          <t>Health Care</t>
        </is>
      </c>
      <c r="E18" s="11" t="n">
        <v>0.1171790168469589</v>
      </c>
      <c r="F18" t="inlineStr"/>
      <c r="G18" t="n">
        <v>25</v>
      </c>
      <c r="H18" t="inlineStr">
        <is>
          <t>FIDRX</t>
        </is>
      </c>
      <c r="I18" t="inlineStr">
        <is>
          <t>Industrials</t>
        </is>
      </c>
      <c r="J18" t="inlineStr">
        <is>
          <t>Industrials</t>
        </is>
      </c>
      <c r="K18" s="11" t="n">
        <v>-0.06565115565579516</v>
      </c>
    </row>
    <row r="19">
      <c r="A19" t="n">
        <v>3</v>
      </c>
      <c r="B19" t="inlineStr">
        <is>
          <t>FSENX</t>
        </is>
      </c>
      <c r="C19" t="inlineStr">
        <is>
          <t>Energy</t>
        </is>
      </c>
      <c r="D19" t="inlineStr">
        <is>
          <t>Energy</t>
        </is>
      </c>
      <c r="E19" s="11" t="n">
        <v>0.1028651259996782</v>
      </c>
      <c r="F19" t="inlineStr"/>
      <c r="G19" t="n">
        <v>26</v>
      </c>
      <c r="H19" t="inlineStr">
        <is>
          <t>FSHOX</t>
        </is>
      </c>
      <c r="I19" t="inlineStr">
        <is>
          <t>Construction &amp; Housing</t>
        </is>
      </c>
      <c r="J19" t="inlineStr">
        <is>
          <t>Consumer Discretionary</t>
        </is>
      </c>
      <c r="K19" s="11" t="n">
        <v>-0.06263132482459144</v>
      </c>
    </row>
    <row r="20">
      <c r="A20" t="n">
        <v>4</v>
      </c>
      <c r="B20" t="inlineStr">
        <is>
          <t>FSPHX</t>
        </is>
      </c>
      <c r="C20" t="inlineStr">
        <is>
          <t>Health Care</t>
        </is>
      </c>
      <c r="D20" t="inlineStr">
        <is>
          <t>Health Care</t>
        </is>
      </c>
      <c r="E20" s="11" t="n">
        <v>0.09330403381555352</v>
      </c>
      <c r="F20" t="inlineStr"/>
      <c r="G20" t="n">
        <v>27</v>
      </c>
      <c r="H20" t="inlineStr">
        <is>
          <t>FSRPX</t>
        </is>
      </c>
      <c r="I20" t="inlineStr">
        <is>
          <t>Retailing</t>
        </is>
      </c>
      <c r="J20" t="inlineStr">
        <is>
          <t>Consumer Discretionary</t>
        </is>
      </c>
      <c r="K20" s="11" t="n">
        <v>-0.05697238887805678</v>
      </c>
    </row>
    <row r="21">
      <c r="A21" t="n">
        <v>5</v>
      </c>
      <c r="B21" t="inlineStr">
        <is>
          <t>FSCSX</t>
        </is>
      </c>
      <c r="C21" t="inlineStr">
        <is>
          <t>Software &amp; IT Services</t>
        </is>
      </c>
      <c r="D21" t="inlineStr">
        <is>
          <t>Information Technology</t>
        </is>
      </c>
      <c r="E21" s="11" t="n">
        <v>0.08030502174326015</v>
      </c>
      <c r="F21" t="inlineStr"/>
      <c r="G21" t="n">
        <v>28</v>
      </c>
      <c r="H21" t="inlineStr">
        <is>
          <t>FSUTX</t>
        </is>
      </c>
      <c r="I21" t="inlineStr">
        <is>
          <t>Utilities</t>
        </is>
      </c>
      <c r="J21" t="inlineStr">
        <is>
          <t>Utilities</t>
        </is>
      </c>
      <c r="K21" s="11" t="n">
        <v>-0.04196327165367431</v>
      </c>
    </row>
    <row r="22">
      <c r="A22" t="n">
        <v>6</v>
      </c>
      <c r="B22" t="inlineStr">
        <is>
          <t>FSMEX</t>
        </is>
      </c>
      <c r="C22" t="inlineStr">
        <is>
          <t>Medical Tech &amp; Devices</t>
        </is>
      </c>
      <c r="D22" t="inlineStr">
        <is>
          <t>Health Care</t>
        </is>
      </c>
      <c r="E22" s="11" t="n">
        <v>0.07556370618105723</v>
      </c>
      <c r="F22" t="inlineStr"/>
      <c r="G22" t="n">
        <v>29</v>
      </c>
      <c r="H22" t="inlineStr">
        <is>
          <t>FSRFX</t>
        </is>
      </c>
      <c r="I22" t="inlineStr">
        <is>
          <t>Transportation</t>
        </is>
      </c>
      <c r="J22" t="inlineStr">
        <is>
          <t>Industrials</t>
        </is>
      </c>
      <c r="K22" s="11" t="n">
        <v>-0.03591295374972825</v>
      </c>
    </row>
    <row r="23">
      <c r="A23" t="n">
        <v>7</v>
      </c>
      <c r="B23" t="inlineStr">
        <is>
          <t>FPHAX</t>
        </is>
      </c>
      <c r="C23" t="inlineStr">
        <is>
          <t>Pharmaceuticals</t>
        </is>
      </c>
      <c r="D23" t="inlineStr">
        <is>
          <t>Health Care</t>
        </is>
      </c>
      <c r="E23" s="11" t="n">
        <v>0.06836589800036652</v>
      </c>
      <c r="F23" t="inlineStr"/>
      <c r="G23" t="n">
        <v>30</v>
      </c>
      <c r="H23" t="inlineStr">
        <is>
          <t>FSCPX</t>
        </is>
      </c>
      <c r="I23" t="inlineStr">
        <is>
          <t>Consumer Discretionary</t>
        </is>
      </c>
      <c r="J23" t="inlineStr">
        <is>
          <t>Consumer Discretionary</t>
        </is>
      </c>
      <c r="K23" s="11" t="n">
        <v>-0.03526937672206709</v>
      </c>
    </row>
    <row r="24">
      <c r="A24" t="n">
        <v>8</v>
      </c>
      <c r="B24" t="inlineStr">
        <is>
          <t>FSDPX</t>
        </is>
      </c>
      <c r="C24" t="inlineStr">
        <is>
          <t>Materials</t>
        </is>
      </c>
      <c r="D24" t="inlineStr">
        <is>
          <t>Materials</t>
        </is>
      </c>
      <c r="E24" s="11" t="n">
        <v>0.0614943119685003</v>
      </c>
      <c r="F24" t="inlineStr"/>
      <c r="G24" t="n">
        <v>31</v>
      </c>
      <c r="H24" t="inlineStr">
        <is>
          <t>FRESX</t>
        </is>
      </c>
      <c r="I24" t="inlineStr">
        <is>
          <t>Real Estate Investment</t>
        </is>
      </c>
      <c r="J24" t="inlineStr">
        <is>
          <t>Real Estate</t>
        </is>
      </c>
      <c r="K24" s="11" t="n">
        <v>-0.02335165866843658</v>
      </c>
    </row>
    <row r="25">
      <c r="A25" t="n">
        <v>9</v>
      </c>
      <c r="B25" t="inlineStr">
        <is>
          <t>FSTCX</t>
        </is>
      </c>
      <c r="C25" t="inlineStr">
        <is>
          <t>Telecommunications</t>
        </is>
      </c>
      <c r="D25" t="inlineStr">
        <is>
          <t>Communication Services</t>
        </is>
      </c>
      <c r="E25" s="11" t="n">
        <v>0.05931572094130289</v>
      </c>
      <c r="F25" t="inlineStr"/>
      <c r="G25" t="n">
        <v>32</v>
      </c>
      <c r="H25" t="inlineStr">
        <is>
          <t>FDLSX</t>
        </is>
      </c>
      <c r="I25" t="inlineStr">
        <is>
          <t>Leisure</t>
        </is>
      </c>
      <c r="J25" t="inlineStr">
        <is>
          <t>Consumer Discretionary</t>
        </is>
      </c>
      <c r="K25" s="11" t="n">
        <v>-0.01961949641459271</v>
      </c>
    </row>
    <row r="26">
      <c r="A26" t="n">
        <v>10</v>
      </c>
      <c r="B26" t="inlineStr">
        <is>
          <t>FBSOX</t>
        </is>
      </c>
      <c r="C26" t="inlineStr">
        <is>
          <t>Enterprise Tech Services</t>
        </is>
      </c>
      <c r="D26" t="inlineStr">
        <is>
          <t>Information Technology</t>
        </is>
      </c>
      <c r="E26" s="11" t="n">
        <v>0.05077761537103087</v>
      </c>
      <c r="F26" t="inlineStr"/>
      <c r="G26" t="n">
        <v>33</v>
      </c>
      <c r="H26" t="inlineStr">
        <is>
          <t>FSLEX</t>
        </is>
      </c>
      <c r="I26" t="inlineStr">
        <is>
          <t>Environment &amp; Alt Energy</t>
        </is>
      </c>
      <c r="J26" t="inlineStr">
        <is>
          <t>Energy</t>
        </is>
      </c>
      <c r="K26" s="11" t="n">
        <v>-0.01643417886985821</v>
      </c>
    </row>
    <row r="27"/>
    <row r="28"/>
    <row r="29">
      <c r="A29" s="9">
        <f>== PAST 3 MONTHS LEADERS &amp; LAGGARDS ===</f>
        <v/>
      </c>
    </row>
    <row r="30">
      <c r="A30" s="10" t="inlineStr">
        <is>
          <t>Top 10 - Rank</t>
        </is>
      </c>
      <c r="B30" s="10" t="inlineStr">
        <is>
          <t>Top 10 - Ticker</t>
        </is>
      </c>
      <c r="C30" s="10" t="inlineStr">
        <is>
          <t>Top 10 - Fund Name</t>
        </is>
      </c>
      <c r="D30" s="10" t="inlineStr">
        <is>
          <t>Top 10 - Sector</t>
        </is>
      </c>
      <c r="E30" s="10" t="inlineStr">
        <is>
          <t>Top 10 - 3M</t>
        </is>
      </c>
      <c r="F30" t="inlineStr"/>
      <c r="G30" s="10" t="inlineStr">
        <is>
          <t>Bottom 10 - Rank</t>
        </is>
      </c>
      <c r="H30" s="10" t="inlineStr">
        <is>
          <t>Bottom 10 - Ticker</t>
        </is>
      </c>
      <c r="I30" s="10" t="inlineStr">
        <is>
          <t>Bottom 10 - Fund Name</t>
        </is>
      </c>
      <c r="J30" s="10" t="inlineStr">
        <is>
          <t>Bottom 10 - Sector</t>
        </is>
      </c>
      <c r="K30" s="10" t="inlineStr">
        <is>
          <t>Bottom 10 - 3M</t>
        </is>
      </c>
    </row>
    <row r="31">
      <c r="A31" t="n">
        <v>1</v>
      </c>
      <c r="B31" t="inlineStr">
        <is>
          <t>FBIOX</t>
        </is>
      </c>
      <c r="C31" t="inlineStr">
        <is>
          <t>Biotechnology</t>
        </is>
      </c>
      <c r="D31" t="inlineStr">
        <is>
          <t>Health Care</t>
        </is>
      </c>
      <c r="E31" s="11" t="n">
        <v>0.2577361588498377</v>
      </c>
      <c r="F31" t="inlineStr"/>
      <c r="G31" t="n">
        <v>24</v>
      </c>
      <c r="H31" t="inlineStr">
        <is>
          <t>FSELX</t>
        </is>
      </c>
      <c r="I31" t="inlineStr">
        <is>
          <t>Semiconductors</t>
        </is>
      </c>
      <c r="J31" t="inlineStr">
        <is>
          <t>Information Technology</t>
        </is>
      </c>
      <c r="K31" s="11" t="n">
        <v>-0.1921616297728077</v>
      </c>
    </row>
    <row r="32">
      <c r="A32" t="n">
        <v>2</v>
      </c>
      <c r="B32" t="inlineStr">
        <is>
          <t>FSPHX</t>
        </is>
      </c>
      <c r="C32" t="inlineStr">
        <is>
          <t>Health Care</t>
        </is>
      </c>
      <c r="D32" t="inlineStr">
        <is>
          <t>Health Care</t>
        </is>
      </c>
      <c r="E32" s="11" t="n">
        <v>0.2418952545307658</v>
      </c>
      <c r="F32" t="inlineStr"/>
      <c r="G32" t="n">
        <v>25</v>
      </c>
      <c r="H32" t="inlineStr">
        <is>
          <t>FWRLX</t>
        </is>
      </c>
      <c r="I32" t="inlineStr">
        <is>
          <t>Wireless</t>
        </is>
      </c>
      <c r="J32" t="inlineStr">
        <is>
          <t>Communication Services</t>
        </is>
      </c>
      <c r="K32" s="11" t="n">
        <v>-0.09101942000396746</v>
      </c>
    </row>
    <row r="33">
      <c r="A33" t="n">
        <v>3</v>
      </c>
      <c r="B33" t="inlineStr">
        <is>
          <t>FSMEX</t>
        </is>
      </c>
      <c r="C33" t="inlineStr">
        <is>
          <t>Medical Tech &amp; Devices</t>
        </is>
      </c>
      <c r="D33" t="inlineStr">
        <is>
          <t>Health Care</t>
        </is>
      </c>
      <c r="E33" s="11" t="n">
        <v>0.2189227080311937</v>
      </c>
      <c r="F33" t="inlineStr"/>
      <c r="G33" t="n">
        <v>26</v>
      </c>
      <c r="H33" t="inlineStr">
        <is>
          <t>FDCPX</t>
        </is>
      </c>
      <c r="I33" t="inlineStr">
        <is>
          <t>Tech Hardware</t>
        </is>
      </c>
      <c r="J33" t="inlineStr">
        <is>
          <t>Information Technology</t>
        </is>
      </c>
      <c r="K33" s="11" t="n">
        <v>-0.07878402446946553</v>
      </c>
    </row>
    <row r="34">
      <c r="A34" t="n">
        <v>4</v>
      </c>
      <c r="B34" t="inlineStr">
        <is>
          <t>FSVLX</t>
        </is>
      </c>
      <c r="C34" t="inlineStr">
        <is>
          <t>FinTech</t>
        </is>
      </c>
      <c r="D34" t="inlineStr">
        <is>
          <t>Financials</t>
        </is>
      </c>
      <c r="E34" s="11" t="n">
        <v>0.2122641230553464</v>
      </c>
      <c r="F34" t="inlineStr"/>
      <c r="G34" t="n">
        <v>27</v>
      </c>
      <c r="H34" t="inlineStr">
        <is>
          <t>FSLEX</t>
        </is>
      </c>
      <c r="I34" t="inlineStr">
        <is>
          <t>Environment &amp; Alt Energy</t>
        </is>
      </c>
      <c r="J34" t="inlineStr">
        <is>
          <t>Energy</t>
        </is>
      </c>
      <c r="K34" s="11" t="n">
        <v>-0.0576711419403344</v>
      </c>
    </row>
    <row r="35">
      <c r="A35" t="n">
        <v>5</v>
      </c>
      <c r="B35" t="inlineStr">
        <is>
          <t>FSAGX</t>
        </is>
      </c>
      <c r="C35" t="inlineStr">
        <is>
          <t>Gold</t>
        </is>
      </c>
      <c r="D35" t="inlineStr">
        <is>
          <t>Materials</t>
        </is>
      </c>
      <c r="E35" s="11" t="n">
        <v>0.2026210699294706</v>
      </c>
      <c r="F35" t="inlineStr"/>
      <c r="G35" t="n">
        <v>28</v>
      </c>
      <c r="H35" t="inlineStr">
        <is>
          <t>FSPTX</t>
        </is>
      </c>
      <c r="I35" t="inlineStr">
        <is>
          <t>Technology</t>
        </is>
      </c>
      <c r="J35" t="inlineStr">
        <is>
          <t>Information Technology</t>
        </is>
      </c>
      <c r="K35" s="11" t="n">
        <v>-0.05441123000811454</v>
      </c>
    </row>
    <row r="36">
      <c r="A36" t="n">
        <v>6</v>
      </c>
      <c r="B36" t="inlineStr">
        <is>
          <t>FSPCX</t>
        </is>
      </c>
      <c r="C36" t="inlineStr">
        <is>
          <t>Insurance</t>
        </is>
      </c>
      <c r="D36" t="inlineStr">
        <is>
          <t>Financials</t>
        </is>
      </c>
      <c r="E36" s="11" t="n">
        <v>0.1934087316466444</v>
      </c>
      <c r="F36" t="inlineStr"/>
      <c r="G36" t="n">
        <v>29</v>
      </c>
      <c r="H36" t="inlineStr">
        <is>
          <t>FSHOX</t>
        </is>
      </c>
      <c r="I36" t="inlineStr">
        <is>
          <t>Construction &amp; Housing</t>
        </is>
      </c>
      <c r="J36" t="inlineStr">
        <is>
          <t>Consumer Discretionary</t>
        </is>
      </c>
      <c r="K36" s="11" t="n">
        <v>-0.05345195856717055</v>
      </c>
    </row>
    <row r="37">
      <c r="A37" t="n">
        <v>7</v>
      </c>
      <c r="B37" t="inlineStr">
        <is>
          <t>FIDSX</t>
        </is>
      </c>
      <c r="C37" t="inlineStr">
        <is>
          <t>Financials</t>
        </is>
      </c>
      <c r="D37" t="inlineStr">
        <is>
          <t>Financials</t>
        </is>
      </c>
      <c r="E37" s="11" t="n">
        <v>0.1825972606349773</v>
      </c>
      <c r="F37" t="inlineStr"/>
      <c r="G37" t="n">
        <v>30</v>
      </c>
      <c r="H37" t="inlineStr">
        <is>
          <t>FSUTX</t>
        </is>
      </c>
      <c r="I37" t="inlineStr">
        <is>
          <t>Utilities</t>
        </is>
      </c>
      <c r="J37" t="inlineStr">
        <is>
          <t>Utilities</t>
        </is>
      </c>
      <c r="K37" s="11" t="n">
        <v>-0.04171783301933008</v>
      </c>
    </row>
    <row r="38">
      <c r="A38" t="n">
        <v>8</v>
      </c>
      <c r="B38" t="inlineStr">
        <is>
          <t>FSLBX</t>
        </is>
      </c>
      <c r="C38" t="inlineStr">
        <is>
          <t>Brokerage &amp; Inv Mgmt</t>
        </is>
      </c>
      <c r="D38" t="inlineStr">
        <is>
          <t>Financials</t>
        </is>
      </c>
      <c r="E38" s="11" t="n">
        <v>0.1688669535378804</v>
      </c>
      <c r="F38" t="inlineStr"/>
      <c r="G38" t="n">
        <v>31</v>
      </c>
      <c r="H38" t="inlineStr">
        <is>
          <t>FSCPX</t>
        </is>
      </c>
      <c r="I38" t="inlineStr">
        <is>
          <t>Consumer Discretionary</t>
        </is>
      </c>
      <c r="J38" t="inlineStr">
        <is>
          <t>Consumer Discretionary</t>
        </is>
      </c>
      <c r="K38" s="11" t="n">
        <v>-0.01997252068509381</v>
      </c>
    </row>
    <row r="39">
      <c r="A39" t="n">
        <v>9</v>
      </c>
      <c r="B39" t="inlineStr">
        <is>
          <t>FBSOX</t>
        </is>
      </c>
      <c r="C39" t="inlineStr">
        <is>
          <t>Enterprise Tech Services</t>
        </is>
      </c>
      <c r="D39" t="inlineStr">
        <is>
          <t>Information Technology</t>
        </is>
      </c>
      <c r="E39" s="11" t="n">
        <v>0.1450648018387373</v>
      </c>
      <c r="F39" t="inlineStr"/>
      <c r="G39" t="n">
        <v>32</v>
      </c>
      <c r="H39" t="inlineStr">
        <is>
          <t>FSAVX</t>
        </is>
      </c>
      <c r="I39" t="inlineStr">
        <is>
          <t>Automotive</t>
        </is>
      </c>
      <c r="J39" t="inlineStr">
        <is>
          <t>Consumer Discretionary</t>
        </is>
      </c>
      <c r="K39" s="11" t="n">
        <v>-0.01282281747350056</v>
      </c>
    </row>
    <row r="40">
      <c r="A40" t="n">
        <v>10</v>
      </c>
      <c r="B40" t="inlineStr">
        <is>
          <t>FSRBX</t>
        </is>
      </c>
      <c r="C40" t="inlineStr">
        <is>
          <t>Banking</t>
        </is>
      </c>
      <c r="D40" t="inlineStr">
        <is>
          <t>Financials</t>
        </is>
      </c>
      <c r="E40" s="11" t="n">
        <v>0.1271236154123605</v>
      </c>
      <c r="F40" t="inlineStr"/>
      <c r="G40" t="n">
        <v>33</v>
      </c>
      <c r="H40" t="inlineStr">
        <is>
          <t>FSRFX</t>
        </is>
      </c>
      <c r="I40" t="inlineStr">
        <is>
          <t>Transportation</t>
        </is>
      </c>
      <c r="J40" t="inlineStr">
        <is>
          <t>Industrials</t>
        </is>
      </c>
      <c r="K40" s="11" t="n">
        <v>-0.006909915795707877</v>
      </c>
    </row>
    <row r="41"/>
    <row r="42"/>
    <row r="43">
      <c r="A43" s="9">
        <f>== PAST 6 MONTHS LEADERS &amp; LAGGARDS ===</f>
        <v/>
      </c>
    </row>
    <row r="44">
      <c r="A44" s="10" t="inlineStr">
        <is>
          <t>Top 10 - Rank</t>
        </is>
      </c>
      <c r="B44" s="10" t="inlineStr">
        <is>
          <t>Top 10 - Ticker</t>
        </is>
      </c>
      <c r="C44" s="10" t="inlineStr">
        <is>
          <t>Top 10 - Fund Name</t>
        </is>
      </c>
      <c r="D44" s="10" t="inlineStr">
        <is>
          <t>Top 10 - Sector</t>
        </is>
      </c>
      <c r="E44" s="10" t="inlineStr">
        <is>
          <t>Top 10 - 6M</t>
        </is>
      </c>
      <c r="F44" t="inlineStr"/>
      <c r="G44" s="10" t="inlineStr">
        <is>
          <t>Bottom 10 - Rank</t>
        </is>
      </c>
      <c r="H44" s="10" t="inlineStr">
        <is>
          <t>Bottom 10 - Ticker</t>
        </is>
      </c>
      <c r="I44" s="10" t="inlineStr">
        <is>
          <t>Bottom 10 - Fund Name</t>
        </is>
      </c>
      <c r="J44" s="10" t="inlineStr">
        <is>
          <t>Bottom 10 - Sector</t>
        </is>
      </c>
      <c r="K44" s="10" t="inlineStr">
        <is>
          <t>Bottom 10 - 6M</t>
        </is>
      </c>
    </row>
    <row r="45">
      <c r="A45" t="n">
        <v>1</v>
      </c>
      <c r="B45" t="inlineStr">
        <is>
          <t>FDCPX</t>
        </is>
      </c>
      <c r="C45" t="inlineStr">
        <is>
          <t>Tech Hardware</t>
        </is>
      </c>
      <c r="D45" t="inlineStr">
        <is>
          <t>Information Technology</t>
        </is>
      </c>
      <c r="E45" s="11" t="n">
        <v>0.4938975646941843</v>
      </c>
      <c r="F45" t="inlineStr"/>
      <c r="G45" t="n">
        <v>24</v>
      </c>
      <c r="H45" t="inlineStr">
        <is>
          <t>FSUTX</t>
        </is>
      </c>
      <c r="I45" t="inlineStr">
        <is>
          <t>Utilities</t>
        </is>
      </c>
      <c r="J45" t="inlineStr">
        <is>
          <t>Utilities</t>
        </is>
      </c>
      <c r="K45" s="11" t="n">
        <v>-0.09288978410225213</v>
      </c>
    </row>
    <row r="46">
      <c r="A46" t="n">
        <v>2</v>
      </c>
      <c r="B46" t="inlineStr">
        <is>
          <t>FSPTX</t>
        </is>
      </c>
      <c r="C46" t="inlineStr">
        <is>
          <t>Technology</t>
        </is>
      </c>
      <c r="D46" t="inlineStr">
        <is>
          <t>Information Technology</t>
        </is>
      </c>
      <c r="E46" s="11" t="n">
        <v>0.4105544324177868</v>
      </c>
      <c r="F46" t="inlineStr"/>
      <c r="G46" t="n">
        <v>25</v>
      </c>
      <c r="H46" t="inlineStr">
        <is>
          <t>FSHOX</t>
        </is>
      </c>
      <c r="I46" t="inlineStr">
        <is>
          <t>Construction &amp; Housing</t>
        </is>
      </c>
      <c r="J46" t="inlineStr">
        <is>
          <t>Consumer Discretionary</t>
        </is>
      </c>
      <c r="K46" s="11" t="n">
        <v>-0.08483892865464948</v>
      </c>
    </row>
    <row r="47">
      <c r="A47" t="n">
        <v>3</v>
      </c>
      <c r="B47" t="inlineStr">
        <is>
          <t>FSELX</t>
        </is>
      </c>
      <c r="C47" t="inlineStr">
        <is>
          <t>Semiconductors</t>
        </is>
      </c>
      <c r="D47" t="inlineStr">
        <is>
          <t>Information Technology</t>
        </is>
      </c>
      <c r="E47" s="11" t="n">
        <v>0.3991717461873354</v>
      </c>
      <c r="F47" t="inlineStr"/>
      <c r="G47" t="n">
        <v>26</v>
      </c>
      <c r="H47" t="inlineStr">
        <is>
          <t>FSDAX</t>
        </is>
      </c>
      <c r="I47" t="inlineStr">
        <is>
          <t>Defense and Aerospace</t>
        </is>
      </c>
      <c r="J47" t="inlineStr">
        <is>
          <t>Industrials</t>
        </is>
      </c>
      <c r="K47" s="11" t="n">
        <v>-0.05230616904524543</v>
      </c>
    </row>
    <row r="48">
      <c r="A48" t="n">
        <v>4</v>
      </c>
      <c r="B48" t="inlineStr">
        <is>
          <t>FSCSX</t>
        </is>
      </c>
      <c r="C48" t="inlineStr">
        <is>
          <t>Software &amp; IT Services</t>
        </is>
      </c>
      <c r="D48" t="inlineStr">
        <is>
          <t>Information Technology</t>
        </is>
      </c>
      <c r="E48" s="11" t="n">
        <v>0.3385720786667437</v>
      </c>
      <c r="F48" t="inlineStr"/>
      <c r="G48" t="n">
        <v>27</v>
      </c>
      <c r="H48" t="inlineStr">
        <is>
          <t>FSAGX</t>
        </is>
      </c>
      <c r="I48" t="inlineStr">
        <is>
          <t>Gold</t>
        </is>
      </c>
      <c r="J48" t="inlineStr">
        <is>
          <t>Materials</t>
        </is>
      </c>
      <c r="K48" s="11" t="n">
        <v>-0.02717773275784641</v>
      </c>
    </row>
    <row r="49">
      <c r="A49" t="n">
        <v>5</v>
      </c>
      <c r="B49" t="inlineStr">
        <is>
          <t>FBIOX</t>
        </is>
      </c>
      <c r="C49" t="inlineStr">
        <is>
          <t>Biotechnology</t>
        </is>
      </c>
      <c r="D49" t="inlineStr">
        <is>
          <t>Health Care</t>
        </is>
      </c>
      <c r="E49" s="11" t="n">
        <v>0.2610546688730686</v>
      </c>
      <c r="F49" t="inlineStr"/>
      <c r="G49" t="n">
        <v>28</v>
      </c>
      <c r="H49" t="inlineStr">
        <is>
          <t>FSAVX</t>
        </is>
      </c>
      <c r="I49" t="inlineStr">
        <is>
          <t>Automotive</t>
        </is>
      </c>
      <c r="J49" t="inlineStr">
        <is>
          <t>Consumer Discretionary</t>
        </is>
      </c>
      <c r="K49" s="11" t="n">
        <v>-0.001294960102706022</v>
      </c>
    </row>
    <row r="50">
      <c r="A50" t="n">
        <v>6</v>
      </c>
      <c r="B50" t="inlineStr">
        <is>
          <t>FBSOX</t>
        </is>
      </c>
      <c r="C50" t="inlineStr">
        <is>
          <t>Enterprise Tech Services</t>
        </is>
      </c>
      <c r="D50" t="inlineStr">
        <is>
          <t>Information Technology</t>
        </is>
      </c>
      <c r="E50" s="11" t="n">
        <v>0.2600385181951754</v>
      </c>
      <c r="F50" t="inlineStr"/>
      <c r="G50" t="n">
        <v>29</v>
      </c>
      <c r="H50" t="inlineStr">
        <is>
          <t>FIDRX</t>
        </is>
      </c>
      <c r="I50" t="inlineStr">
        <is>
          <t>Industrials</t>
        </is>
      </c>
      <c r="J50" t="inlineStr">
        <is>
          <t>Industrials</t>
        </is>
      </c>
      <c r="K50" s="11" t="n">
        <v>0.0007218512968703017</v>
      </c>
    </row>
    <row r="51">
      <c r="A51" t="n">
        <v>7</v>
      </c>
      <c r="B51" t="inlineStr">
        <is>
          <t>FSPHX</t>
        </is>
      </c>
      <c r="C51" t="inlineStr">
        <is>
          <t>Health Care</t>
        </is>
      </c>
      <c r="D51" t="inlineStr">
        <is>
          <t>Health Care</t>
        </is>
      </c>
      <c r="E51" s="11" t="n">
        <v>0.2125937181650828</v>
      </c>
      <c r="F51" t="inlineStr"/>
      <c r="G51" t="n">
        <v>30</v>
      </c>
      <c r="H51" t="inlineStr">
        <is>
          <t>FSCHX</t>
        </is>
      </c>
      <c r="I51" t="inlineStr">
        <is>
          <t>Chemicals</t>
        </is>
      </c>
      <c r="J51" t="inlineStr">
        <is>
          <t>Materials</t>
        </is>
      </c>
      <c r="K51" s="11" t="n">
        <v>0.006531551938669944</v>
      </c>
    </row>
    <row r="52">
      <c r="A52" t="n">
        <v>8</v>
      </c>
      <c r="B52" t="inlineStr">
        <is>
          <t>FSENX</t>
        </is>
      </c>
      <c r="C52" t="inlineStr">
        <is>
          <t>Energy</t>
        </is>
      </c>
      <c r="D52" t="inlineStr">
        <is>
          <t>Energy</t>
        </is>
      </c>
      <c r="E52" s="11" t="n">
        <v>0.1965726511943291</v>
      </c>
      <c r="F52" t="inlineStr"/>
      <c r="G52" t="n">
        <v>31</v>
      </c>
      <c r="H52" t="inlineStr">
        <is>
          <t>FSDPX</t>
        </is>
      </c>
      <c r="I52" t="inlineStr">
        <is>
          <t>Materials</t>
        </is>
      </c>
      <c r="J52" t="inlineStr">
        <is>
          <t>Materials</t>
        </is>
      </c>
      <c r="K52" s="11" t="n">
        <v>0.01168814928159256</v>
      </c>
    </row>
    <row r="53">
      <c r="A53" t="n">
        <v>9</v>
      </c>
      <c r="B53" t="inlineStr">
        <is>
          <t>FIDSX</t>
        </is>
      </c>
      <c r="C53" t="inlineStr">
        <is>
          <t>Financials</t>
        </is>
      </c>
      <c r="D53" t="inlineStr">
        <is>
          <t>Financials</t>
        </is>
      </c>
      <c r="E53" s="11" t="n">
        <v>0.1915662380442442</v>
      </c>
      <c r="F53" t="inlineStr"/>
      <c r="G53" t="n">
        <v>32</v>
      </c>
      <c r="H53" t="inlineStr">
        <is>
          <t>FSCPX</t>
        </is>
      </c>
      <c r="I53" t="inlineStr">
        <is>
          <t>Consumer Discretionary</t>
        </is>
      </c>
      <c r="J53" t="inlineStr">
        <is>
          <t>Consumer Discretionary</t>
        </is>
      </c>
      <c r="K53" s="11" t="n">
        <v>0.01319827403023033</v>
      </c>
    </row>
    <row r="54">
      <c r="A54" t="n">
        <v>10</v>
      </c>
      <c r="B54" t="inlineStr">
        <is>
          <t>FWRLX</t>
        </is>
      </c>
      <c r="C54" t="inlineStr">
        <is>
          <t>Wireless</t>
        </is>
      </c>
      <c r="D54" t="inlineStr">
        <is>
          <t>Communication Services</t>
        </is>
      </c>
      <c r="E54" s="11" t="n">
        <v>0.1888888165643838</v>
      </c>
      <c r="F54" t="inlineStr"/>
      <c r="G54" t="n">
        <v>33</v>
      </c>
      <c r="H54" t="inlineStr">
        <is>
          <t>FSRPX</t>
        </is>
      </c>
      <c r="I54" t="inlineStr">
        <is>
          <t>Retailing</t>
        </is>
      </c>
      <c r="J54" t="inlineStr">
        <is>
          <t>Consumer Discretionary</t>
        </is>
      </c>
      <c r="K54" s="11" t="n">
        <v>0.01794573949972977</v>
      </c>
    </row>
    <row r="55"/>
    <row r="56"/>
    <row r="57">
      <c r="A57" s="9">
        <f>== PAST 1 YEAR LEADERS &amp; LAGGARDS ===</f>
        <v/>
      </c>
    </row>
    <row r="58">
      <c r="A58" s="10" t="inlineStr">
        <is>
          <t>Top 10 - Rank</t>
        </is>
      </c>
      <c r="B58" s="10" t="inlineStr">
        <is>
          <t>Top 10 - Ticker</t>
        </is>
      </c>
      <c r="C58" s="10" t="inlineStr">
        <is>
          <t>Top 10 - Fund Name</t>
        </is>
      </c>
      <c r="D58" s="10" t="inlineStr">
        <is>
          <t>Top 10 - Sector</t>
        </is>
      </c>
      <c r="E58" s="10" t="inlineStr">
        <is>
          <t>Top 10 - 1Y</t>
        </is>
      </c>
      <c r="F58" t="inlineStr"/>
      <c r="G58" s="10" t="inlineStr">
        <is>
          <t>Bottom 10 - Rank</t>
        </is>
      </c>
      <c r="H58" s="10" t="inlineStr">
        <is>
          <t>Bottom 10 - Ticker</t>
        </is>
      </c>
      <c r="I58" s="10" t="inlineStr">
        <is>
          <t>Bottom 10 - Fund Name</t>
        </is>
      </c>
      <c r="J58" s="10" t="inlineStr">
        <is>
          <t>Bottom 10 - Sector</t>
        </is>
      </c>
      <c r="K58" s="10" t="inlineStr">
        <is>
          <t>Bottom 10 - 1Y</t>
        </is>
      </c>
    </row>
    <row r="59">
      <c r="A59" t="n">
        <v>1</v>
      </c>
      <c r="B59" t="inlineStr">
        <is>
          <t>FDCPX</t>
        </is>
      </c>
      <c r="C59" t="inlineStr">
        <is>
          <t>Tech Hardware</t>
        </is>
      </c>
      <c r="D59" t="inlineStr">
        <is>
          <t>Information Technology</t>
        </is>
      </c>
      <c r="E59" s="11" t="n">
        <v>0.9386741294708902</v>
      </c>
      <c r="F59" t="inlineStr"/>
      <c r="G59" t="n">
        <v>23</v>
      </c>
      <c r="H59" t="inlineStr">
        <is>
          <t>FSVLX</t>
        </is>
      </c>
      <c r="I59" t="inlineStr">
        <is>
          <t>FinTech</t>
        </is>
      </c>
      <c r="J59" t="inlineStr">
        <is>
          <t>Financials</t>
        </is>
      </c>
      <c r="K59" s="11" t="n">
        <v>-0.09643395735854343</v>
      </c>
    </row>
    <row r="60">
      <c r="A60" t="n">
        <v>2</v>
      </c>
      <c r="B60" t="inlineStr">
        <is>
          <t>FSELX</t>
        </is>
      </c>
      <c r="C60" t="inlineStr">
        <is>
          <t>Semiconductors</t>
        </is>
      </c>
      <c r="D60" t="inlineStr">
        <is>
          <t>Information Technology</t>
        </is>
      </c>
      <c r="E60" s="11" t="n">
        <v>0.8476440521545707</v>
      </c>
      <c r="F60" t="inlineStr"/>
      <c r="G60" t="n">
        <v>24</v>
      </c>
      <c r="H60" t="inlineStr">
        <is>
          <t>FDLSX</t>
        </is>
      </c>
      <c r="I60" t="inlineStr">
        <is>
          <t>Leisure</t>
        </is>
      </c>
      <c r="J60" t="inlineStr">
        <is>
          <t>Consumer Discretionary</t>
        </is>
      </c>
      <c r="K60" s="11" t="n">
        <v>-0.0895859929388888</v>
      </c>
    </row>
    <row r="61">
      <c r="A61" t="n">
        <v>3</v>
      </c>
      <c r="B61" t="inlineStr">
        <is>
          <t>FSENX</t>
        </is>
      </c>
      <c r="C61" t="inlineStr">
        <is>
          <t>Energy</t>
        </is>
      </c>
      <c r="D61" t="inlineStr">
        <is>
          <t>Energy</t>
        </is>
      </c>
      <c r="E61" s="11" t="n">
        <v>0.5821442086912221</v>
      </c>
      <c r="F61" t="inlineStr"/>
      <c r="G61" t="n">
        <v>25</v>
      </c>
      <c r="H61" t="inlineStr">
        <is>
          <t>FSHOX</t>
        </is>
      </c>
      <c r="I61" t="inlineStr">
        <is>
          <t>Construction &amp; Housing</t>
        </is>
      </c>
      <c r="J61" t="inlineStr">
        <is>
          <t>Consumer Discretionary</t>
        </is>
      </c>
      <c r="K61" s="11" t="n">
        <v>-0.04589009622407458</v>
      </c>
    </row>
    <row r="62">
      <c r="A62" t="n">
        <v>4</v>
      </c>
      <c r="B62" t="inlineStr">
        <is>
          <t>FBIOX</t>
        </is>
      </c>
      <c r="C62" t="inlineStr">
        <is>
          <t>Biotechnology</t>
        </is>
      </c>
      <c r="D62" t="inlineStr">
        <is>
          <t>Health Care</t>
        </is>
      </c>
      <c r="E62" s="11" t="n">
        <v>0.5777877495461556</v>
      </c>
      <c r="F62" t="inlineStr"/>
      <c r="G62" t="n">
        <v>26</v>
      </c>
      <c r="H62" t="inlineStr">
        <is>
          <t>FSLBX</t>
        </is>
      </c>
      <c r="I62" t="inlineStr">
        <is>
          <t>Brokerage &amp; Inv Mgmt</t>
        </is>
      </c>
      <c r="J62" t="inlineStr">
        <is>
          <t>Financials</t>
        </is>
      </c>
      <c r="K62" s="11" t="n">
        <v>-0.02554147656527817</v>
      </c>
    </row>
    <row r="63">
      <c r="A63" t="n">
        <v>5</v>
      </c>
      <c r="B63" t="inlineStr">
        <is>
          <t>FSAGX</t>
        </is>
      </c>
      <c r="C63" t="inlineStr">
        <is>
          <t>Gold</t>
        </is>
      </c>
      <c r="D63" t="inlineStr">
        <is>
          <t>Materials</t>
        </is>
      </c>
      <c r="E63" s="11" t="n">
        <v>0.5677063463050824</v>
      </c>
      <c r="F63" t="inlineStr"/>
      <c r="G63" t="n">
        <v>27</v>
      </c>
      <c r="H63" t="inlineStr">
        <is>
          <t>FSAVX</t>
        </is>
      </c>
      <c r="I63" t="inlineStr">
        <is>
          <t>Automotive</t>
        </is>
      </c>
      <c r="J63" t="inlineStr">
        <is>
          <t>Consumer Discretionary</t>
        </is>
      </c>
      <c r="K63" s="11" t="n">
        <v>0.005041794542151701</v>
      </c>
    </row>
    <row r="64">
      <c r="A64" t="n">
        <v>6</v>
      </c>
      <c r="B64" t="inlineStr">
        <is>
          <t>FSPTX</t>
        </is>
      </c>
      <c r="C64" t="inlineStr">
        <is>
          <t>Technology</t>
        </is>
      </c>
      <c r="D64" t="inlineStr">
        <is>
          <t>Information Technology</t>
        </is>
      </c>
      <c r="E64" s="11" t="n">
        <v>0.5216264313801517</v>
      </c>
      <c r="F64" t="inlineStr"/>
      <c r="G64" t="n">
        <v>28</v>
      </c>
      <c r="H64" t="inlineStr">
        <is>
          <t>FSCPX</t>
        </is>
      </c>
      <c r="I64" t="inlineStr">
        <is>
          <t>Consumer Discretionary</t>
        </is>
      </c>
      <c r="J64" t="inlineStr">
        <is>
          <t>Consumer Discretionary</t>
        </is>
      </c>
      <c r="K64" s="11" t="n">
        <v>0.02121491891365124</v>
      </c>
    </row>
    <row r="65">
      <c r="A65" t="n">
        <v>7</v>
      </c>
      <c r="B65" t="inlineStr">
        <is>
          <t>FPHAX</t>
        </is>
      </c>
      <c r="C65" t="inlineStr">
        <is>
          <t>Pharmaceuticals</t>
        </is>
      </c>
      <c r="D65" t="inlineStr">
        <is>
          <t>Health Care</t>
        </is>
      </c>
      <c r="E65" s="11" t="n">
        <v>0.4645741038173641</v>
      </c>
      <c r="F65" t="inlineStr"/>
      <c r="G65" t="n">
        <v>29</v>
      </c>
      <c r="H65" t="inlineStr">
        <is>
          <t>FBSOX</t>
        </is>
      </c>
      <c r="I65" t="inlineStr">
        <is>
          <t>Enterprise Tech Services</t>
        </is>
      </c>
      <c r="J65" t="inlineStr">
        <is>
          <t>Information Technology</t>
        </is>
      </c>
      <c r="K65" s="11" t="n">
        <v>0.03231332607001747</v>
      </c>
    </row>
    <row r="66">
      <c r="A66" t="n">
        <v>8</v>
      </c>
      <c r="B66" t="inlineStr">
        <is>
          <t>FSPHX</t>
        </is>
      </c>
      <c r="C66" t="inlineStr">
        <is>
          <t>Health Care</t>
        </is>
      </c>
      <c r="D66" t="inlineStr">
        <is>
          <t>Health Care</t>
        </is>
      </c>
      <c r="E66" s="11" t="n">
        <v>0.3459809014449917</v>
      </c>
      <c r="F66" t="inlineStr"/>
      <c r="G66" t="n">
        <v>30</v>
      </c>
      <c r="H66" t="inlineStr">
        <is>
          <t>FSRPX</t>
        </is>
      </c>
      <c r="I66" t="inlineStr">
        <is>
          <t>Retailing</t>
        </is>
      </c>
      <c r="J66" t="inlineStr">
        <is>
          <t>Consumer Discretionary</t>
        </is>
      </c>
      <c r="K66" s="11" t="n">
        <v>0.03892281417891286</v>
      </c>
    </row>
    <row r="67">
      <c r="A67" t="n">
        <v>9</v>
      </c>
      <c r="B67" t="inlineStr">
        <is>
          <t>FWRLX</t>
        </is>
      </c>
      <c r="C67" t="inlineStr">
        <is>
          <t>Wireless</t>
        </is>
      </c>
      <c r="D67" t="inlineStr">
        <is>
          <t>Communication Services</t>
        </is>
      </c>
      <c r="E67" s="11" t="n">
        <v>0.2968795796924908</v>
      </c>
      <c r="F67" t="inlineStr"/>
      <c r="G67" t="n">
        <v>31</v>
      </c>
      <c r="H67" t="inlineStr">
        <is>
          <t>FSUTX</t>
        </is>
      </c>
      <c r="I67" t="inlineStr">
        <is>
          <t>Utilities</t>
        </is>
      </c>
      <c r="J67" t="inlineStr">
        <is>
          <t>Utilities</t>
        </is>
      </c>
      <c r="K67" s="11" t="n">
        <v>0.04229686831170421</v>
      </c>
    </row>
    <row r="68">
      <c r="A68" t="n">
        <v>10</v>
      </c>
      <c r="B68" t="inlineStr">
        <is>
          <t>FSRBX</t>
        </is>
      </c>
      <c r="C68" t="inlineStr">
        <is>
          <t>Banking</t>
        </is>
      </c>
      <c r="D68" t="inlineStr">
        <is>
          <t>Financials</t>
        </is>
      </c>
      <c r="E68" s="11" t="n">
        <v>0.2313803530319625</v>
      </c>
      <c r="F68" t="inlineStr"/>
      <c r="G68" t="n">
        <v>32</v>
      </c>
      <c r="H68" t="inlineStr">
        <is>
          <t>FSCSX</t>
        </is>
      </c>
      <c r="I68" t="inlineStr">
        <is>
          <t>Software &amp; IT Services</t>
        </is>
      </c>
      <c r="J68" t="inlineStr">
        <is>
          <t>Information Technology</t>
        </is>
      </c>
      <c r="K68" s="11" t="n">
        <v>0.04962981105947573</v>
      </c>
    </row>
    <row r="69"/>
    <row r="70"/>
    <row r="71">
      <c r="A71" s="9">
        <f>== PAST 3 YEARS LEADERS &amp; LAGGARDS ===</f>
        <v/>
      </c>
    </row>
    <row r="72">
      <c r="A72" s="10" t="inlineStr">
        <is>
          <t>Top 10 - Rank</t>
        </is>
      </c>
      <c r="B72" s="10" t="inlineStr">
        <is>
          <t>Top 10 - Ticker</t>
        </is>
      </c>
      <c r="C72" s="10" t="inlineStr">
        <is>
          <t>Top 10 - Fund Name</t>
        </is>
      </c>
      <c r="D72" s="10" t="inlineStr">
        <is>
          <t>Top 10 - Sector</t>
        </is>
      </c>
      <c r="E72" s="10" t="inlineStr">
        <is>
          <t>Top 10 - 3Y</t>
        </is>
      </c>
      <c r="F72" t="inlineStr"/>
      <c r="G72" s="10" t="inlineStr">
        <is>
          <t>Bottom 10 - Rank</t>
        </is>
      </c>
      <c r="H72" s="10" t="inlineStr">
        <is>
          <t>Bottom 10 - Ticker</t>
        </is>
      </c>
      <c r="I72" s="10" t="inlineStr">
        <is>
          <t>Bottom 10 - Fund Name</t>
        </is>
      </c>
      <c r="J72" s="10" t="inlineStr">
        <is>
          <t>Bottom 10 - Sector</t>
        </is>
      </c>
      <c r="K72" s="10" t="inlineStr">
        <is>
          <t>Bottom 10 - 3Y</t>
        </is>
      </c>
    </row>
    <row r="73">
      <c r="A73" t="n">
        <v>1</v>
      </c>
      <c r="B73" t="inlineStr">
        <is>
          <t>FSAGX</t>
        </is>
      </c>
      <c r="C73" t="inlineStr">
        <is>
          <t>Gold</t>
        </is>
      </c>
      <c r="D73" t="inlineStr">
        <is>
          <t>Materials</t>
        </is>
      </c>
      <c r="E73" s="11" t="n">
        <v>2.492861879669038</v>
      </c>
      <c r="F73" t="inlineStr"/>
      <c r="G73" t="n">
        <v>23</v>
      </c>
      <c r="H73" t="inlineStr">
        <is>
          <t>FSCHX</t>
        </is>
      </c>
      <c r="I73" t="inlineStr">
        <is>
          <t>Chemicals</t>
        </is>
      </c>
      <c r="J73" t="inlineStr">
        <is>
          <t>Materials</t>
        </is>
      </c>
      <c r="K73" s="11" t="n">
        <v>0.0547937359578432</v>
      </c>
    </row>
    <row r="74">
      <c r="A74" t="n">
        <v>2</v>
      </c>
      <c r="B74" t="inlineStr">
        <is>
          <t>FSELX</t>
        </is>
      </c>
      <c r="C74" t="inlineStr">
        <is>
          <t>Semiconductors</t>
        </is>
      </c>
      <c r="D74" t="inlineStr">
        <is>
          <t>Information Technology</t>
        </is>
      </c>
      <c r="E74" s="11" t="n">
        <v>2.280748433069891</v>
      </c>
      <c r="F74" t="inlineStr"/>
      <c r="G74" t="n">
        <v>24</v>
      </c>
      <c r="H74" t="inlineStr">
        <is>
          <t>FSHCX</t>
        </is>
      </c>
      <c r="I74" t="inlineStr">
        <is>
          <t>Health Care Services</t>
        </is>
      </c>
      <c r="J74" t="inlineStr">
        <is>
          <t>Health Care</t>
        </is>
      </c>
      <c r="K74" s="11" t="n">
        <v>0.1182841311504481</v>
      </c>
    </row>
    <row r="75">
      <c r="A75" t="n">
        <v>3</v>
      </c>
      <c r="B75" t="inlineStr">
        <is>
          <t>FDCPX</t>
        </is>
      </c>
      <c r="C75" t="inlineStr">
        <is>
          <t>Tech Hardware</t>
        </is>
      </c>
      <c r="D75" t="inlineStr">
        <is>
          <t>Information Technology</t>
        </is>
      </c>
      <c r="E75" s="11" t="n">
        <v>2.095898832676281</v>
      </c>
      <c r="F75" t="inlineStr"/>
      <c r="G75" t="n">
        <v>25</v>
      </c>
      <c r="H75" t="inlineStr">
        <is>
          <t>FSMEX</t>
        </is>
      </c>
      <c r="I75" t="inlineStr">
        <is>
          <t>Medical Tech &amp; Devices</t>
        </is>
      </c>
      <c r="J75" t="inlineStr">
        <is>
          <t>Health Care</t>
        </is>
      </c>
      <c r="K75" s="11" t="n">
        <v>0.1514442862236229</v>
      </c>
    </row>
    <row r="76">
      <c r="A76" t="n">
        <v>4</v>
      </c>
      <c r="B76" t="inlineStr">
        <is>
          <t>FSPTX</t>
        </is>
      </c>
      <c r="C76" t="inlineStr">
        <is>
          <t>Technology</t>
        </is>
      </c>
      <c r="D76" t="inlineStr">
        <is>
          <t>Information Technology</t>
        </is>
      </c>
      <c r="E76" s="11" t="n">
        <v>1.434819018665046</v>
      </c>
      <c r="F76" t="inlineStr"/>
      <c r="G76" t="n">
        <v>26</v>
      </c>
      <c r="H76" t="inlineStr">
        <is>
          <t>FDFAX</t>
        </is>
      </c>
      <c r="I76" t="inlineStr">
        <is>
          <t>Consumer Staples</t>
        </is>
      </c>
      <c r="J76" t="inlineStr">
        <is>
          <t>Consumer Staples</t>
        </is>
      </c>
      <c r="K76" s="11" t="n">
        <v>0.1722660886812724</v>
      </c>
    </row>
    <row r="77">
      <c r="A77" t="n">
        <v>5</v>
      </c>
      <c r="B77" t="inlineStr">
        <is>
          <t>FSRBX</t>
        </is>
      </c>
      <c r="C77" t="inlineStr">
        <is>
          <t>Banking</t>
        </is>
      </c>
      <c r="D77" t="inlineStr">
        <is>
          <t>Financials</t>
        </is>
      </c>
      <c r="E77" s="11" t="n">
        <v>1.156688458469165</v>
      </c>
      <c r="F77" t="inlineStr"/>
      <c r="G77" t="n">
        <v>27</v>
      </c>
      <c r="H77" t="inlineStr">
        <is>
          <t>FSVLX</t>
        </is>
      </c>
      <c r="I77" t="inlineStr">
        <is>
          <t>FinTech</t>
        </is>
      </c>
      <c r="J77" t="inlineStr">
        <is>
          <t>Financials</t>
        </is>
      </c>
      <c r="K77" s="11" t="n">
        <v>0.206572766950138</v>
      </c>
    </row>
    <row r="78">
      <c r="A78" t="n">
        <v>6</v>
      </c>
      <c r="B78" t="inlineStr">
        <is>
          <t>FSDAX</t>
        </is>
      </c>
      <c r="C78" t="inlineStr">
        <is>
          <t>Defense and Aerospace</t>
        </is>
      </c>
      <c r="D78" t="inlineStr">
        <is>
          <t>Industrials</t>
        </is>
      </c>
      <c r="E78" s="11" t="n">
        <v>1.049156410767717</v>
      </c>
      <c r="F78" t="inlineStr"/>
      <c r="G78" t="n">
        <v>28</v>
      </c>
      <c r="H78" t="inlineStr">
        <is>
          <t>FSDPX</t>
        </is>
      </c>
      <c r="I78" t="inlineStr">
        <is>
          <t>Materials</t>
        </is>
      </c>
      <c r="J78" t="inlineStr">
        <is>
          <t>Materials</t>
        </is>
      </c>
      <c r="K78" s="11" t="n">
        <v>0.222414725101536</v>
      </c>
    </row>
    <row r="79">
      <c r="A79" t="n">
        <v>7</v>
      </c>
      <c r="B79" t="inlineStr">
        <is>
          <t>FBIOX</t>
        </is>
      </c>
      <c r="C79" t="inlineStr">
        <is>
          <t>Biotechnology</t>
        </is>
      </c>
      <c r="D79" t="inlineStr">
        <is>
          <t>Health Care</t>
        </is>
      </c>
      <c r="E79" s="11" t="n">
        <v>1.016146595380402</v>
      </c>
      <c r="F79" t="inlineStr"/>
      <c r="G79" t="n">
        <v>29</v>
      </c>
      <c r="H79" t="inlineStr">
        <is>
          <t>FSAVX</t>
        </is>
      </c>
      <c r="I79" t="inlineStr">
        <is>
          <t>Automotive</t>
        </is>
      </c>
      <c r="J79" t="inlineStr">
        <is>
          <t>Consumer Discretionary</t>
        </is>
      </c>
      <c r="K79" s="11" t="n">
        <v>0.2247039432207498</v>
      </c>
    </row>
    <row r="80">
      <c r="A80" t="n">
        <v>8</v>
      </c>
      <c r="B80" t="inlineStr">
        <is>
          <t>FIDSX</t>
        </is>
      </c>
      <c r="C80" t="inlineStr">
        <is>
          <t>Financials</t>
        </is>
      </c>
      <c r="D80" t="inlineStr">
        <is>
          <t>Financials</t>
        </is>
      </c>
      <c r="E80" s="11" t="n">
        <v>0.9690558682959405</v>
      </c>
      <c r="F80" t="inlineStr"/>
      <c r="G80" t="n">
        <v>30</v>
      </c>
      <c r="H80" t="inlineStr">
        <is>
          <t>FBSOX</t>
        </is>
      </c>
      <c r="I80" t="inlineStr">
        <is>
          <t>Enterprise Tech Services</t>
        </is>
      </c>
      <c r="J80" t="inlineStr">
        <is>
          <t>Information Technology</t>
        </is>
      </c>
      <c r="K80" s="11" t="n">
        <v>0.269964575029535</v>
      </c>
    </row>
    <row r="81">
      <c r="A81" t="n">
        <v>9</v>
      </c>
      <c r="B81" t="inlineStr">
        <is>
          <t>FWRLX</t>
        </is>
      </c>
      <c r="C81" t="inlineStr">
        <is>
          <t>Wireless</t>
        </is>
      </c>
      <c r="D81" t="inlineStr">
        <is>
          <t>Communication Services</t>
        </is>
      </c>
      <c r="E81" s="11" t="n">
        <v>0.7936920496356643</v>
      </c>
      <c r="F81" t="inlineStr"/>
      <c r="G81" t="n">
        <v>31</v>
      </c>
      <c r="H81" t="inlineStr">
        <is>
          <t>FSHOX</t>
        </is>
      </c>
      <c r="I81" t="inlineStr">
        <is>
          <t>Construction &amp; Housing</t>
        </is>
      </c>
      <c r="J81" t="inlineStr">
        <is>
          <t>Consumer Discretionary</t>
        </is>
      </c>
      <c r="K81" s="11" t="n">
        <v>0.2835212541951986</v>
      </c>
    </row>
    <row r="82">
      <c r="A82" t="n">
        <v>10</v>
      </c>
      <c r="B82" t="inlineStr">
        <is>
          <t>FSTCX</t>
        </is>
      </c>
      <c r="C82" t="inlineStr">
        <is>
          <t>Telecommunications</t>
        </is>
      </c>
      <c r="D82" t="inlineStr">
        <is>
          <t>Communication Services</t>
        </is>
      </c>
      <c r="E82" s="11" t="n">
        <v>0.7802203885985499</v>
      </c>
      <c r="F82" t="inlineStr"/>
      <c r="G82" t="n">
        <v>32</v>
      </c>
      <c r="H82" t="inlineStr">
        <is>
          <t>FDLSX</t>
        </is>
      </c>
      <c r="I82" t="inlineStr">
        <is>
          <t>Leisure</t>
        </is>
      </c>
      <c r="J82" t="inlineStr">
        <is>
          <t>Consumer Discretionary</t>
        </is>
      </c>
      <c r="K82" s="11" t="n">
        <v>0.2845062968675121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2026-09-04T21:54:27Z</dcterms:created>
  <dcterms:modified xmlns:dcterms="http://purl.org/dc/terms/" xmlns:xsi="http://www.w3.org/2001/XMLSchema-instance" xsi:type="dcterms:W3CDTF">2026-09-04T21:54:27Z</dcterms:modified>
</cp:coreProperties>
</file>