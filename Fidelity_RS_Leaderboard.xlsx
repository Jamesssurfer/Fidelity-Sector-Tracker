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BD_RS_Leaderboard" sheetId="1" state="visible" r:id="rId1"/>
    <sheet xmlns:r="http://schemas.openxmlformats.org/officeDocument/2006/relationships" name="Top_and_Last_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1" fontId="1" fillId="3" borderId="2" pivotButton="0" quotePrefix="0" xfId="0"/>
    <xf numFmtId="164" fontId="0" fillId="0" borderId="2" pivotButton="0" quotePrefix="0" xfId="0"/>
    <xf numFmtId="10" fontId="0" fillId="0" borderId="2" pivotButton="0" quotePrefix="0" xfId="0"/>
    <xf numFmtId="1" fontId="1" fillId="0" borderId="2" pivotButton="0" quotePrefix="0" xfId="0"/>
    <xf numFmtId="1" fontId="1" fillId="4" borderId="2" pivotButton="0" quotePrefix="0" xfId="0"/>
    <xf numFmtId="0" fontId="3" fillId="0" borderId="0" pivotButton="0" quotePrefix="0" xfId="0"/>
    <xf numFmtId="0" fontId="2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7" customWidth="1" min="4" max="4"/>
    <col width="25" customWidth="1" min="5" max="5"/>
    <col width="13" customWidth="1" min="6" max="6"/>
    <col width="25" customWidth="1" min="7" max="7"/>
    <col width="25" customWidth="1" min="8" max="8"/>
    <col width="24" customWidth="1" min="9" max="9"/>
    <col width="24" customWidth="1" min="10" max="10"/>
    <col width="23" customWidth="1" min="11" max="11"/>
    <col width="24" customWidth="1" min="12" max="12"/>
    <col width="23" customWidth="1" min="13" max="13"/>
    <col width="23" customWidth="1" min="14" max="14"/>
    <col width="22" customWidth="1" min="15" max="15"/>
    <col width="22" customWidth="1" min="16" max="16"/>
  </cols>
  <sheetData>
    <row r="1">
      <c r="A1" s="2" t="inlineStr">
        <is>
          <t>IBD_Rank</t>
        </is>
      </c>
      <c r="B1" s="2" t="inlineStr">
        <is>
          <t>IBD_RS_Rating</t>
        </is>
      </c>
      <c r="C1" s="2" t="inlineStr">
        <is>
          <t>Ticker</t>
        </is>
      </c>
      <c r="D1" s="2" t="inlineStr">
        <is>
          <t>Fund Name</t>
        </is>
      </c>
      <c r="E1" s="2" t="inlineStr">
        <is>
          <t>Sector</t>
        </is>
      </c>
      <c r="F1" s="2" t="inlineStr">
        <is>
          <t>Latest NAV</t>
        </is>
      </c>
      <c r="G1" s="2" t="inlineStr">
        <is>
          <t>1D</t>
        </is>
      </c>
      <c r="H1" s="2" t="inlineStr">
        <is>
          <t>1W</t>
        </is>
      </c>
      <c r="I1" s="2" t="inlineStr">
        <is>
          <t>2W</t>
        </is>
      </c>
      <c r="J1" s="2" t="inlineStr">
        <is>
          <t>1M</t>
        </is>
      </c>
      <c r="K1" s="2" t="inlineStr">
        <is>
          <t>3M</t>
        </is>
      </c>
      <c r="L1" s="2" t="inlineStr">
        <is>
          <t>6M</t>
        </is>
      </c>
      <c r="M1" s="2" t="inlineStr">
        <is>
          <t>9M</t>
        </is>
      </c>
      <c r="N1" s="2" t="inlineStr">
        <is>
          <t>1Y</t>
        </is>
      </c>
      <c r="O1" s="2" t="inlineStr">
        <is>
          <t>3Y</t>
        </is>
      </c>
      <c r="P1" s="2" t="inlineStr">
        <is>
          <t>3Y (Ann.)</t>
        </is>
      </c>
    </row>
    <row r="2">
      <c r="A2" s="3" t="n">
        <v>1</v>
      </c>
      <c r="B2" s="4" t="n">
        <v>99</v>
      </c>
      <c r="C2" s="3" t="inlineStr">
        <is>
          <t>FDCPX</t>
        </is>
      </c>
      <c r="D2" s="3" t="inlineStr">
        <is>
          <t>Tech Hardware</t>
        </is>
      </c>
      <c r="E2" s="3" t="inlineStr">
        <is>
          <t>Information Technology</t>
        </is>
      </c>
      <c r="F2" s="5" t="n">
        <v>218.72</v>
      </c>
      <c r="G2" s="6" t="n">
        <v>-0.02365861508203426</v>
      </c>
      <c r="H2" s="6" t="n">
        <v>-0.03690006454245875</v>
      </c>
      <c r="I2" s="6" t="n">
        <v>-0.01393082535458923</v>
      </c>
      <c r="J2" s="6" t="n">
        <v>-0.01040631167902117</v>
      </c>
      <c r="K2" s="6" t="n">
        <v>-0.0313551892620294</v>
      </c>
      <c r="L2" s="6" t="n">
        <v>0.3488745572222021</v>
      </c>
      <c r="M2" s="6" t="n">
        <v>0.6548856880089535</v>
      </c>
      <c r="N2" s="6" t="n">
        <v>0.8037563318976764</v>
      </c>
      <c r="O2" s="6" t="n">
        <v>2.211954069658725</v>
      </c>
      <c r="P2" s="6" t="n">
        <v>0.4754452846405768</v>
      </c>
    </row>
    <row r="3">
      <c r="A3" s="3" t="n">
        <v>2</v>
      </c>
      <c r="B3" s="4" t="n">
        <v>96</v>
      </c>
      <c r="C3" s="3" t="inlineStr">
        <is>
          <t>FSENX</t>
        </is>
      </c>
      <c r="D3" s="3" t="inlineStr">
        <is>
          <t>Energy</t>
        </is>
      </c>
      <c r="E3" s="3" t="inlineStr">
        <is>
          <t>Energy</t>
        </is>
      </c>
      <c r="F3" s="5" t="n">
        <v>94.14</v>
      </c>
      <c r="G3" s="6" t="n">
        <v>0.008895100769169995</v>
      </c>
      <c r="H3" s="6" t="n">
        <v>0.02997809428913123</v>
      </c>
      <c r="I3" s="6" t="n">
        <v>0.04728000922079678</v>
      </c>
      <c r="J3" s="6" t="n">
        <v>0</v>
      </c>
      <c r="K3" s="6" t="n">
        <v>0.1767499923706055</v>
      </c>
      <c r="L3" s="6" t="n">
        <v>0.1573641950828952</v>
      </c>
      <c r="M3" s="6" t="n">
        <v>0.4783218673330534</v>
      </c>
      <c r="N3" s="6" t="n">
        <v>0.6173536891538591</v>
      </c>
      <c r="O3" s="6" t="n">
        <v>0.6762770350408378</v>
      </c>
      <c r="P3" s="6" t="n">
        <v>0.1879056056461998</v>
      </c>
    </row>
    <row r="4">
      <c r="A4" s="3" t="n">
        <v>3</v>
      </c>
      <c r="B4" s="4" t="n">
        <v>93</v>
      </c>
      <c r="C4" s="3" t="inlineStr">
        <is>
          <t>FSPTX</t>
        </is>
      </c>
      <c r="D4" s="3" t="inlineStr">
        <is>
          <t>Technology</t>
        </is>
      </c>
      <c r="E4" s="3" t="inlineStr">
        <is>
          <t>Information Technology</t>
        </is>
      </c>
      <c r="F4" s="5" t="n">
        <v>58.12</v>
      </c>
      <c r="G4" s="6" t="n">
        <v>-0.009036702134786467</v>
      </c>
      <c r="H4" s="6" t="n">
        <v>-0.02105440496022448</v>
      </c>
      <c r="I4" s="6" t="n">
        <v>0.003973044475060972</v>
      </c>
      <c r="J4" s="6" t="n">
        <v>0.05213608193173935</v>
      </c>
      <c r="K4" s="6" t="n">
        <v>0.04852965202776316</v>
      </c>
      <c r="L4" s="6" t="n">
        <v>0.4059022428002204</v>
      </c>
      <c r="M4" s="6" t="n">
        <v>0.4142720928017698</v>
      </c>
      <c r="N4" s="6" t="n">
        <v>0.4947088057660616</v>
      </c>
      <c r="O4" s="6" t="n">
        <v>1.649563527803462</v>
      </c>
      <c r="P4" s="6" t="n">
        <v>0.3837515243495901</v>
      </c>
    </row>
    <row r="5">
      <c r="A5" s="3" t="n">
        <v>4</v>
      </c>
      <c r="B5" s="4" t="n">
        <v>90</v>
      </c>
      <c r="C5" s="3" t="inlineStr">
        <is>
          <t>FSCSX</t>
        </is>
      </c>
      <c r="D5" s="3" t="inlineStr">
        <is>
          <t>Software &amp; IT Services</t>
        </is>
      </c>
      <c r="E5" s="3" t="inlineStr">
        <is>
          <t>Information Technology</t>
        </is>
      </c>
      <c r="F5" s="5" t="n">
        <v>25.88</v>
      </c>
      <c r="G5" s="6" t="n">
        <v>-0.008429165420982931</v>
      </c>
      <c r="H5" s="6" t="n">
        <v>0.02050467420741242</v>
      </c>
      <c r="I5" s="6" t="n">
        <v>0.06502057503344916</v>
      </c>
      <c r="J5" s="6" t="n">
        <v>0.1145564136981807</v>
      </c>
      <c r="K5" s="6" t="n">
        <v>0.2667645019178049</v>
      </c>
      <c r="L5" s="6" t="n">
        <v>0.6114570374456729</v>
      </c>
      <c r="M5" s="6" t="n">
        <v>0.1364898687647511</v>
      </c>
      <c r="N5" s="6" t="n">
        <v>0.1229084251733719</v>
      </c>
      <c r="O5" s="6" t="n">
        <v>0.5038687406794944</v>
      </c>
      <c r="P5" s="6" t="n">
        <v>0.1456975315852829</v>
      </c>
    </row>
    <row r="6">
      <c r="A6" s="3" t="n">
        <v>5</v>
      </c>
      <c r="B6" s="4" t="n">
        <v>87</v>
      </c>
      <c r="C6" s="3" t="inlineStr">
        <is>
          <t>FSELX</t>
        </is>
      </c>
      <c r="D6" s="3" t="inlineStr">
        <is>
          <t>Semiconductors</t>
        </is>
      </c>
      <c r="E6" s="3" t="inlineStr">
        <is>
          <t>Information Technology</t>
        </is>
      </c>
      <c r="F6" s="5" t="n">
        <v>62.78</v>
      </c>
      <c r="G6" s="6" t="n">
        <v>-0.02530670377482658</v>
      </c>
      <c r="H6" s="6" t="n">
        <v>-0.06521746045233812</v>
      </c>
      <c r="I6" s="6" t="n">
        <v>-0.0166040314968271</v>
      </c>
      <c r="J6" s="6" t="n">
        <v>0.03070101685387239</v>
      </c>
      <c r="K6" s="6" t="n">
        <v>-0.06549570565482588</v>
      </c>
      <c r="L6" s="6" t="n">
        <v>0.2664918129069902</v>
      </c>
      <c r="M6" s="6" t="n">
        <v>0.4796546807091238</v>
      </c>
      <c r="N6" s="6" t="n">
        <v>0.7333000801698946</v>
      </c>
      <c r="O6" s="6" t="n">
        <v>2.604165110856536</v>
      </c>
      <c r="P6" s="6" t="n">
        <v>0.5332097043419914</v>
      </c>
    </row>
    <row r="7">
      <c r="A7" s="3" t="n">
        <v>6</v>
      </c>
      <c r="B7" s="4" t="n">
        <v>84</v>
      </c>
      <c r="C7" s="3" t="inlineStr">
        <is>
          <t>FBSOX</t>
        </is>
      </c>
      <c r="D7" s="3" t="inlineStr">
        <is>
          <t>Enterprise Tech Services</t>
        </is>
      </c>
      <c r="E7" s="3" t="inlineStr">
        <is>
          <t>Information Technology</t>
        </is>
      </c>
      <c r="F7" s="5" t="n">
        <v>47</v>
      </c>
      <c r="G7" s="6" t="n">
        <v>-0.0008503595822452192</v>
      </c>
      <c r="H7" s="6" t="n">
        <v>0.03569852123743122</v>
      </c>
      <c r="I7" s="6" t="n">
        <v>0.05617977528089879</v>
      </c>
      <c r="J7" s="6" t="n">
        <v>0.0549944063949912</v>
      </c>
      <c r="K7" s="6" t="n">
        <v>0.1273687106789476</v>
      </c>
      <c r="L7" s="6" t="n">
        <v>0.3787034259204034</v>
      </c>
      <c r="M7" s="6" t="n">
        <v>0.08163822861176162</v>
      </c>
      <c r="N7" s="6" t="n">
        <v>0.0896442754303981</v>
      </c>
      <c r="O7" s="6" t="n">
        <v>0.3668407357049797</v>
      </c>
      <c r="P7" s="6" t="n">
        <v>0.1097861600633394</v>
      </c>
    </row>
    <row r="8">
      <c r="A8" s="3" t="n">
        <v>7</v>
      </c>
      <c r="B8" s="4" t="n">
        <v>81</v>
      </c>
      <c r="C8" s="3" t="inlineStr">
        <is>
          <t>FSMEX</t>
        </is>
      </c>
      <c r="D8" s="3" t="inlineStr">
        <is>
          <t>Medical Tech &amp; Devices</t>
        </is>
      </c>
      <c r="E8" s="3" t="inlineStr">
        <is>
          <t>Health Care</t>
        </is>
      </c>
      <c r="F8" s="5" t="n">
        <v>55.85</v>
      </c>
      <c r="G8" s="6" t="n">
        <v>-0.0008945089515725035</v>
      </c>
      <c r="H8" s="6" t="n">
        <v>-0.0320624309247256</v>
      </c>
      <c r="I8" s="6" t="n">
        <v>-0.02700353676922795</v>
      </c>
      <c r="J8" s="6" t="n">
        <v>0.08826965717526569</v>
      </c>
      <c r="K8" s="6" t="n">
        <v>0.1611226662339642</v>
      </c>
      <c r="L8" s="6" t="n">
        <v>0.2751141426245658</v>
      </c>
      <c r="M8" s="6" t="n">
        <v>0.03804202864538841</v>
      </c>
      <c r="N8" s="6" t="n">
        <v>0.1441376234027429</v>
      </c>
      <c r="O8" s="6" t="n">
        <v>0.4197662760341538</v>
      </c>
      <c r="P8" s="6" t="n">
        <v>0.1239291937182299</v>
      </c>
    </row>
    <row r="9">
      <c r="A9" s="3" t="n">
        <v>8</v>
      </c>
      <c r="B9" s="7" t="n">
        <v>78</v>
      </c>
      <c r="C9" s="3" t="inlineStr">
        <is>
          <t>FSPHX</t>
        </is>
      </c>
      <c r="D9" s="3" t="inlineStr">
        <is>
          <t>Health Care</t>
        </is>
      </c>
      <c r="E9" s="3" t="inlineStr">
        <is>
          <t>Health Care</t>
        </is>
      </c>
      <c r="F9" s="5" t="n">
        <v>29.1</v>
      </c>
      <c r="G9" s="6" t="n">
        <v>-0.005807997049376623</v>
      </c>
      <c r="H9" s="6" t="n">
        <v>-0.02643021158616365</v>
      </c>
      <c r="I9" s="6" t="n">
        <v>-0.03450560813667092</v>
      </c>
      <c r="J9" s="6" t="n">
        <v>0.006224076926034661</v>
      </c>
      <c r="K9" s="6" t="n">
        <v>0.03743319689727076</v>
      </c>
      <c r="L9" s="6" t="n">
        <v>0.2109862484374307</v>
      </c>
      <c r="M9" s="6" t="n">
        <v>0.1394672008803381</v>
      </c>
      <c r="N9" s="6" t="n">
        <v>0.2479580211553065</v>
      </c>
      <c r="O9" s="6" t="n">
        <v>0.533601914371173</v>
      </c>
      <c r="P9" s="6" t="n">
        <v>0.1531988855050188</v>
      </c>
    </row>
    <row r="10">
      <c r="A10" s="3" t="n">
        <v>9</v>
      </c>
      <c r="B10" s="7" t="n">
        <v>75</v>
      </c>
      <c r="C10" s="3" t="inlineStr">
        <is>
          <t>FWRLX</t>
        </is>
      </c>
      <c r="D10" s="3" t="inlineStr">
        <is>
          <t>Wireless</t>
        </is>
      </c>
      <c r="E10" s="3" t="inlineStr">
        <is>
          <t>Communication Services</t>
        </is>
      </c>
      <c r="F10" s="5" t="n">
        <v>14.86</v>
      </c>
      <c r="G10" s="6" t="n">
        <v>-0.004688589890669226</v>
      </c>
      <c r="H10" s="6" t="n">
        <v>-0.01719578246360698</v>
      </c>
      <c r="I10" s="6" t="n">
        <v>-0.01328026277336214</v>
      </c>
      <c r="J10" s="6" t="n">
        <v>-0.0306588564493081</v>
      </c>
      <c r="K10" s="6" t="n">
        <v>-0.01784537050372981</v>
      </c>
      <c r="L10" s="6" t="n">
        <v>0.1466049084056897</v>
      </c>
      <c r="M10" s="6" t="n">
        <v>0.2653706729004126</v>
      </c>
      <c r="N10" s="6" t="n">
        <v>0.2896284479316031</v>
      </c>
      <c r="O10" s="6" t="n">
        <v>0.8500822999484341</v>
      </c>
      <c r="P10" s="6" t="n">
        <v>0.2276192297962949</v>
      </c>
    </row>
    <row r="11">
      <c r="A11" s="3" t="n">
        <v>10</v>
      </c>
      <c r="B11" s="7" t="n">
        <v>72</v>
      </c>
      <c r="C11" s="3" t="inlineStr">
        <is>
          <t>FBIOX</t>
        </is>
      </c>
      <c r="D11" s="3" t="inlineStr">
        <is>
          <t>Biotechnology</t>
        </is>
      </c>
      <c r="E11" s="3" t="inlineStr">
        <is>
          <t>Health Care</t>
        </is>
      </c>
      <c r="F11" s="5" t="n">
        <v>28.05</v>
      </c>
      <c r="G11" s="6" t="n">
        <v>-0.006728064291697922</v>
      </c>
      <c r="H11" s="6" t="n">
        <v>-0.01716894403462366</v>
      </c>
      <c r="I11" s="6" t="n">
        <v>-0.03175699337589721</v>
      </c>
      <c r="J11" s="6" t="n">
        <v>-0.04461857445701634</v>
      </c>
      <c r="K11" s="6" t="n">
        <v>-0.03872519041457312</v>
      </c>
      <c r="L11" s="6" t="n">
        <v>0.1315045664032746</v>
      </c>
      <c r="M11" s="6" t="n">
        <v>0.1769231077033147</v>
      </c>
      <c r="N11" s="6" t="n">
        <v>0.2870473551134223</v>
      </c>
      <c r="O11" s="6" t="n">
        <v>1.005316319510966</v>
      </c>
      <c r="P11" s="6" t="n">
        <v>0.2610364193444534</v>
      </c>
    </row>
    <row r="12">
      <c r="A12" s="3" t="n">
        <v>11</v>
      </c>
      <c r="B12" s="7" t="n">
        <v>69</v>
      </c>
      <c r="C12" s="3" t="inlineStr">
        <is>
          <t>FSAGX</t>
        </is>
      </c>
      <c r="D12" s="3" t="inlineStr">
        <is>
          <t>Gold</t>
        </is>
      </c>
      <c r="E12" s="3" t="inlineStr">
        <is>
          <t>Materials</t>
        </is>
      </c>
      <c r="F12" s="5" t="n">
        <v>61.9</v>
      </c>
      <c r="G12" s="6" t="n">
        <v>-0.003381083278200081</v>
      </c>
      <c r="H12" s="6" t="n">
        <v>0.0147541233750641</v>
      </c>
      <c r="I12" s="6" t="n">
        <v>-0.001451849494289559</v>
      </c>
      <c r="J12" s="6" t="n">
        <v>-0.08241917631264095</v>
      </c>
      <c r="K12" s="6" t="n">
        <v>0.1919892386310931</v>
      </c>
      <c r="L12" s="6" t="n">
        <v>-0.08553701738361252</v>
      </c>
      <c r="M12" s="6" t="n">
        <v>-0.02131427740484426</v>
      </c>
      <c r="N12" s="6" t="n">
        <v>0.2388405616084583</v>
      </c>
      <c r="O12" s="6" t="n">
        <v>2.356112293066343</v>
      </c>
      <c r="P12" s="6" t="n">
        <v>0.4971965850354332</v>
      </c>
    </row>
    <row r="13">
      <c r="A13" s="3" t="n">
        <v>12</v>
      </c>
      <c r="B13" s="7" t="n">
        <v>66</v>
      </c>
      <c r="C13" s="3" t="inlineStr">
        <is>
          <t>FPHAX</t>
        </is>
      </c>
      <c r="D13" s="3" t="inlineStr">
        <is>
          <t>Pharmaceuticals</t>
        </is>
      </c>
      <c r="E13" s="3" t="inlineStr">
        <is>
          <t>Health Care</t>
        </is>
      </c>
      <c r="F13" s="5" t="n">
        <v>34.11</v>
      </c>
      <c r="G13" s="6" t="n">
        <v>-0.009869380117798254</v>
      </c>
      <c r="H13" s="6" t="n">
        <v>0.008276640973748028</v>
      </c>
      <c r="I13" s="6" t="n">
        <v>-0.0251500721892447</v>
      </c>
      <c r="J13" s="6" t="n">
        <v>0.005897987727496723</v>
      </c>
      <c r="K13" s="6" t="n">
        <v>-0.01302085489172544</v>
      </c>
      <c r="L13" s="6" t="n">
        <v>0.1053143206649787</v>
      </c>
      <c r="M13" s="6" t="n">
        <v>0.1113928828825637</v>
      </c>
      <c r="N13" s="6" t="n">
        <v>0.2561550739151131</v>
      </c>
      <c r="O13" s="6" t="n">
        <v>0.665534390953914</v>
      </c>
      <c r="P13" s="6" t="n">
        <v>0.1853625484121744</v>
      </c>
    </row>
    <row r="14">
      <c r="A14" s="3" t="n">
        <v>13</v>
      </c>
      <c r="B14" s="7" t="n">
        <v>63</v>
      </c>
      <c r="C14" s="3" t="inlineStr">
        <is>
          <t>FDFAX</t>
        </is>
      </c>
      <c r="D14" s="3" t="inlineStr">
        <is>
          <t>Consumer Staples</t>
        </is>
      </c>
      <c r="E14" s="3" t="inlineStr">
        <is>
          <t>Consumer Staples</t>
        </is>
      </c>
      <c r="F14" s="5" t="n">
        <v>94.45999999999999</v>
      </c>
      <c r="G14" s="6" t="n">
        <v>0.01341057839585624</v>
      </c>
      <c r="H14" s="6" t="n">
        <v>0.0452583403074569</v>
      </c>
      <c r="I14" s="6" t="n">
        <v>0.02306939468403169</v>
      </c>
      <c r="J14" s="6" t="n">
        <v>0.02030673165084496</v>
      </c>
      <c r="K14" s="6" t="n">
        <v>0.02406766340109723</v>
      </c>
      <c r="L14" s="6" t="n">
        <v>0.06378914309762251</v>
      </c>
      <c r="M14" s="6" t="n">
        <v>0.1098975100175803</v>
      </c>
      <c r="N14" s="6" t="n">
        <v>0.1730507022399654</v>
      </c>
      <c r="O14" s="6" t="n">
        <v>0.2935474127559801</v>
      </c>
      <c r="P14" s="6" t="n">
        <v>0.08958416726699392</v>
      </c>
    </row>
    <row r="15">
      <c r="A15" s="3" t="n">
        <v>14</v>
      </c>
      <c r="B15" s="7" t="n">
        <v>60</v>
      </c>
      <c r="C15" s="3" t="inlineStr">
        <is>
          <t>FSHCX</t>
        </is>
      </c>
      <c r="D15" s="3" t="inlineStr">
        <is>
          <t>Health Care Services</t>
        </is>
      </c>
      <c r="E15" s="3" t="inlineStr">
        <is>
          <t>Health Care</t>
        </is>
      </c>
      <c r="F15" s="5" t="n">
        <v>114.22</v>
      </c>
      <c r="G15" s="6" t="n">
        <v>0.009813461270991919</v>
      </c>
      <c r="H15" s="6" t="n">
        <v>0.02146307934563518</v>
      </c>
      <c r="I15" s="6" t="n">
        <v>0.03949767087521616</v>
      </c>
      <c r="J15" s="6" t="n">
        <v>0.00113949414484571</v>
      </c>
      <c r="K15" s="6" t="n">
        <v>-0.05984028949624709</v>
      </c>
      <c r="L15" s="6" t="n">
        <v>0.170526737829521</v>
      </c>
      <c r="M15" s="6" t="n">
        <v>0.08967755727195503</v>
      </c>
      <c r="N15" s="6" t="n">
        <v>0.1215389227774288</v>
      </c>
      <c r="O15" s="6" t="n">
        <v>0.04463037770069933</v>
      </c>
      <c r="P15" s="6" t="n">
        <v>0.01466080302798312</v>
      </c>
    </row>
    <row r="16">
      <c r="A16" s="3" t="n">
        <v>15</v>
      </c>
      <c r="B16" s="7" t="n">
        <v>57</v>
      </c>
      <c r="C16" s="3" t="inlineStr">
        <is>
          <t>FIDSX</t>
        </is>
      </c>
      <c r="D16" s="3" t="inlineStr">
        <is>
          <t>Financials</t>
        </is>
      </c>
      <c r="E16" s="3" t="inlineStr">
        <is>
          <t>Financials</t>
        </is>
      </c>
      <c r="F16" s="5" t="n">
        <v>16.58</v>
      </c>
      <c r="G16" s="6" t="n">
        <v>0.006067984481033406</v>
      </c>
      <c r="H16" s="6" t="n">
        <v>0.01344739029015019</v>
      </c>
      <c r="I16" s="6" t="n">
        <v>0.01035954161332642</v>
      </c>
      <c r="J16" s="6" t="n">
        <v>-0.05148739371277644</v>
      </c>
      <c r="K16" s="6" t="n">
        <v>-0.02067338305733668</v>
      </c>
      <c r="L16" s="6" t="n">
        <v>0.09438946146419158</v>
      </c>
      <c r="M16" s="6" t="n">
        <v>0.0367763794183662</v>
      </c>
      <c r="N16" s="6" t="n">
        <v>0.1430215644573436</v>
      </c>
      <c r="O16" s="6" t="n">
        <v>0.9217788873033785</v>
      </c>
      <c r="P16" s="6" t="n">
        <v>0.2432767322616929</v>
      </c>
    </row>
    <row r="17">
      <c r="A17" s="3" t="n">
        <v>16</v>
      </c>
      <c r="B17" s="7" t="n">
        <v>54</v>
      </c>
      <c r="C17" s="3" t="inlineStr">
        <is>
          <t>FSLEX</t>
        </is>
      </c>
      <c r="D17" s="3" t="inlineStr">
        <is>
          <t>Environment &amp; Alt Energy</t>
        </is>
      </c>
      <c r="E17" s="3" t="inlineStr">
        <is>
          <t>Energy</t>
        </is>
      </c>
      <c r="F17" s="5" t="n">
        <v>51.88</v>
      </c>
      <c r="G17" s="6" t="n">
        <v>-0.001923787514461983</v>
      </c>
      <c r="H17" s="6" t="n">
        <v>0.002512097934593838</v>
      </c>
      <c r="I17" s="6" t="n">
        <v>0.0242842942780146</v>
      </c>
      <c r="J17" s="6" t="n">
        <v>0.00640158750608566</v>
      </c>
      <c r="K17" s="6" t="n">
        <v>-0.03425167741579971</v>
      </c>
      <c r="L17" s="6" t="n">
        <v>0.06420515011518435</v>
      </c>
      <c r="M17" s="6" t="n">
        <v>0.08503806919192214</v>
      </c>
      <c r="N17" s="6" t="n">
        <v>0.1444520750425613</v>
      </c>
      <c r="O17" s="6" t="n">
        <v>0.8017741605771918</v>
      </c>
      <c r="P17" s="6" t="n">
        <v>0.2168399272496293</v>
      </c>
    </row>
    <row r="18">
      <c r="A18" s="3" t="n">
        <v>17</v>
      </c>
      <c r="B18" s="7" t="n">
        <v>51</v>
      </c>
      <c r="C18" s="3" t="inlineStr">
        <is>
          <t>FSPCX</t>
        </is>
      </c>
      <c r="D18" s="3" t="inlineStr">
        <is>
          <t>Insurance</t>
        </is>
      </c>
      <c r="E18" s="3" t="inlineStr">
        <is>
          <t>Financials</t>
        </is>
      </c>
      <c r="F18" s="5" t="n">
        <v>94.34</v>
      </c>
      <c r="G18" s="6" t="n">
        <v>0.01071352088315924</v>
      </c>
      <c r="H18" s="6" t="n">
        <v>0.02856514481375849</v>
      </c>
      <c r="I18" s="6" t="n">
        <v>0.02845299122906608</v>
      </c>
      <c r="J18" s="6" t="n">
        <v>-0.01162913196271198</v>
      </c>
      <c r="K18" s="6" t="n">
        <v>-0.015240153103945</v>
      </c>
      <c r="L18" s="6" t="n">
        <v>0.1131562989721608</v>
      </c>
      <c r="M18" s="6" t="n">
        <v>0.07201418471197107</v>
      </c>
      <c r="N18" s="6" t="n">
        <v>0.06358429033996371</v>
      </c>
      <c r="O18" s="6" t="n">
        <v>0.5246495866109646</v>
      </c>
      <c r="P18" s="6" t="n">
        <v>0.1509505906123056</v>
      </c>
    </row>
    <row r="19">
      <c r="A19" s="3" t="n">
        <v>18</v>
      </c>
      <c r="B19" s="7" t="n">
        <v>49</v>
      </c>
      <c r="C19" s="3" t="inlineStr">
        <is>
          <t>FSRBX</t>
        </is>
      </c>
      <c r="D19" s="3" t="inlineStr">
        <is>
          <t>Banking</t>
        </is>
      </c>
      <c r="E19" s="3" t="inlineStr">
        <is>
          <t>Financials</t>
        </is>
      </c>
      <c r="F19" s="5" t="n">
        <v>35.68</v>
      </c>
      <c r="G19" s="6" t="n">
        <v>0.006204208301840097</v>
      </c>
      <c r="H19" s="6" t="n">
        <v>-0.0008400666498453724</v>
      </c>
      <c r="I19" s="6" t="n">
        <v>-0.008888880411783817</v>
      </c>
      <c r="J19" s="6" t="n">
        <v>-0.06474445928993233</v>
      </c>
      <c r="K19" s="6" t="n">
        <v>-0.06792054746687348</v>
      </c>
      <c r="L19" s="6" t="n">
        <v>0.02972579318727031</v>
      </c>
      <c r="M19" s="6" t="n">
        <v>0.04848291496988155</v>
      </c>
      <c r="N19" s="6" t="n">
        <v>0.2042556908860524</v>
      </c>
      <c r="O19" s="6" t="n">
        <v>1.13626287186988</v>
      </c>
      <c r="P19" s="6" t="n">
        <v>0.2879081679439959</v>
      </c>
    </row>
    <row r="20">
      <c r="A20" s="3" t="n">
        <v>19</v>
      </c>
      <c r="B20" s="7" t="n">
        <v>46</v>
      </c>
      <c r="C20" s="3" t="inlineStr">
        <is>
          <t>FSRFX</t>
        </is>
      </c>
      <c r="D20" s="3" t="inlineStr">
        <is>
          <t>Transportation</t>
        </is>
      </c>
      <c r="E20" s="3" t="inlineStr">
        <is>
          <t>Industrials</t>
        </is>
      </c>
      <c r="F20" s="5" t="n">
        <v>113.3</v>
      </c>
      <c r="G20" s="6" t="n">
        <v>-0.004656055264617209</v>
      </c>
      <c r="H20" s="6" t="n">
        <v>-0.002377358842933108</v>
      </c>
      <c r="I20" s="6" t="n">
        <v>0.005145509446181196</v>
      </c>
      <c r="J20" s="6" t="n">
        <v>-0.02293891043218388</v>
      </c>
      <c r="K20" s="6" t="n">
        <v>-0.09214743364413747</v>
      </c>
      <c r="L20" s="6" t="n">
        <v>0.0386872125950195</v>
      </c>
      <c r="M20" s="6" t="n">
        <v>0.05703040559176742</v>
      </c>
      <c r="N20" s="6" t="n">
        <v>0.19667625965833</v>
      </c>
      <c r="O20" s="6" t="n">
        <v>0.4480005873728297</v>
      </c>
      <c r="P20" s="6" t="n">
        <v>0.1313307181371295</v>
      </c>
    </row>
    <row r="21">
      <c r="A21" s="3" t="n">
        <v>20</v>
      </c>
      <c r="B21" s="7" t="n">
        <v>43</v>
      </c>
      <c r="C21" s="3" t="inlineStr">
        <is>
          <t>FRESX</t>
        </is>
      </c>
      <c r="D21" s="3" t="inlineStr">
        <is>
          <t>Real Estate Investment</t>
        </is>
      </c>
      <c r="E21" s="3" t="inlineStr">
        <is>
          <t>Real Estate</t>
        </is>
      </c>
      <c r="F21" s="5" t="n">
        <v>39.93</v>
      </c>
      <c r="G21" s="6" t="n">
        <v>0.00706175960962141</v>
      </c>
      <c r="H21" s="6" t="n">
        <v>0.02674211704421281</v>
      </c>
      <c r="I21" s="6" t="n">
        <v>0.00986341377385469</v>
      </c>
      <c r="J21" s="6" t="n">
        <v>-0.02609755353229803</v>
      </c>
      <c r="K21" s="6" t="n">
        <v>-0.05162218622467907</v>
      </c>
      <c r="L21" s="6" t="n">
        <v>-0.002119614354881838</v>
      </c>
      <c r="M21" s="6" t="n">
        <v>0.06900866427865737</v>
      </c>
      <c r="N21" s="6" t="n">
        <v>0.103347702186845</v>
      </c>
      <c r="O21" s="6" t="n">
        <v>0.3673813230499625</v>
      </c>
      <c r="P21" s="6" t="n">
        <v>0.1099324480844657</v>
      </c>
    </row>
    <row r="22">
      <c r="A22" s="3" t="n">
        <v>21</v>
      </c>
      <c r="B22" s="7" t="n">
        <v>40</v>
      </c>
      <c r="C22" s="3" t="inlineStr">
        <is>
          <t>FSVLX</t>
        </is>
      </c>
      <c r="D22" s="3" t="inlineStr">
        <is>
          <t>FinTech</t>
        </is>
      </c>
      <c r="E22" s="3" t="inlineStr">
        <is>
          <t>Financials</t>
        </is>
      </c>
      <c r="F22" s="5" t="n">
        <v>17.34</v>
      </c>
      <c r="G22" s="6" t="n">
        <v>0.002891800717930826</v>
      </c>
      <c r="H22" s="6" t="n">
        <v>0.03770204085173456</v>
      </c>
      <c r="I22" s="6" t="n">
        <v>0.06576519143941639</v>
      </c>
      <c r="J22" s="6" t="n">
        <v>0.03030304404003425</v>
      </c>
      <c r="K22" s="6" t="n">
        <v>0.04963678402556315</v>
      </c>
      <c r="L22" s="6" t="n">
        <v>0.1614199462927428</v>
      </c>
      <c r="M22" s="6" t="n">
        <v>-0.1010886817205806</v>
      </c>
      <c r="N22" s="6" t="n">
        <v>-0.09262168504614765</v>
      </c>
      <c r="O22" s="6" t="n">
        <v>0.2547033672570891</v>
      </c>
      <c r="P22" s="6" t="n">
        <v>0.07856673366015121</v>
      </c>
    </row>
    <row r="23">
      <c r="A23" s="3" t="n">
        <v>22</v>
      </c>
      <c r="B23" s="7" t="n">
        <v>37</v>
      </c>
      <c r="C23" s="3" t="inlineStr">
        <is>
          <t>FSDPX</t>
        </is>
      </c>
      <c r="D23" s="3" t="inlineStr">
        <is>
          <t>Materials</t>
        </is>
      </c>
      <c r="E23" s="3" t="inlineStr">
        <is>
          <t>Materials</t>
        </is>
      </c>
      <c r="F23" s="5" t="n">
        <v>97.20999999999999</v>
      </c>
      <c r="G23" s="6" t="n">
        <v>-0.0006168146464927693</v>
      </c>
      <c r="H23" s="6" t="n">
        <v>-0.0003085024676666714</v>
      </c>
      <c r="I23" s="6" t="n">
        <v>0.00278519327694049</v>
      </c>
      <c r="J23" s="6" t="n">
        <v>-0.03244751763334008</v>
      </c>
      <c r="K23" s="6" t="n">
        <v>-0.0133969320123607</v>
      </c>
      <c r="L23" s="6" t="n">
        <v>-0.07020567912993236</v>
      </c>
      <c r="M23" s="6" t="n">
        <v>0.01577315258007705</v>
      </c>
      <c r="N23" s="6" t="n">
        <v>0.126681974993452</v>
      </c>
      <c r="O23" s="6" t="n">
        <v>0.2564958764401395</v>
      </c>
      <c r="P23" s="6" t="n">
        <v>0.07908011418702343</v>
      </c>
    </row>
    <row r="24">
      <c r="A24" s="3" t="n">
        <v>23</v>
      </c>
      <c r="B24" s="7" t="n">
        <v>34</v>
      </c>
      <c r="C24" s="3" t="inlineStr">
        <is>
          <t>FSTCX</t>
        </is>
      </c>
      <c r="D24" s="3" t="inlineStr">
        <is>
          <t>Telecommunications</t>
        </is>
      </c>
      <c r="E24" s="3" t="inlineStr">
        <is>
          <t>Communication Services</t>
        </is>
      </c>
      <c r="F24" s="5" t="n">
        <v>63.47</v>
      </c>
      <c r="G24" s="6" t="n">
        <v>0.007780274405022602</v>
      </c>
      <c r="H24" s="6" t="n">
        <v>-0.05788928850944375</v>
      </c>
      <c r="I24" s="6" t="n">
        <v>-0.05550589132335715</v>
      </c>
      <c r="J24" s="6" t="n">
        <v>-0.1047954886497963</v>
      </c>
      <c r="K24" s="6" t="n">
        <v>-0.03745831254552878</v>
      </c>
      <c r="L24" s="6" t="n">
        <v>-0.04221163301262143</v>
      </c>
      <c r="M24" s="6" t="n">
        <v>0.06795118188331339</v>
      </c>
      <c r="N24" s="6" t="n">
        <v>0.08894925560922462</v>
      </c>
      <c r="O24" s="6" t="n">
        <v>0.6939337768355656</v>
      </c>
      <c r="P24" s="6" t="n">
        <v>0.192061904853043</v>
      </c>
    </row>
    <row r="25">
      <c r="A25" s="3" t="n">
        <v>24</v>
      </c>
      <c r="B25" s="7" t="n">
        <v>31</v>
      </c>
      <c r="C25" s="3" t="inlineStr">
        <is>
          <t>FSCHX</t>
        </is>
      </c>
      <c r="D25" s="3" t="inlineStr">
        <is>
          <t>Chemicals</t>
        </is>
      </c>
      <c r="E25" s="3" t="inlineStr">
        <is>
          <t>Materials</t>
        </is>
      </c>
      <c r="F25" s="5" t="n">
        <v>13.3</v>
      </c>
      <c r="G25" s="6" t="n">
        <v>0.002260718307182774</v>
      </c>
      <c r="H25" s="6" t="n">
        <v>-0.002998497855734139</v>
      </c>
      <c r="I25" s="6" t="n">
        <v>0.0007524626719743743</v>
      </c>
      <c r="J25" s="6" t="n">
        <v>-0.01408447617546194</v>
      </c>
      <c r="K25" s="6" t="n">
        <v>-0.05740605851532166</v>
      </c>
      <c r="L25" s="6" t="n">
        <v>-0.0547263341002493</v>
      </c>
      <c r="M25" s="6" t="n">
        <v>0.05953463035728945</v>
      </c>
      <c r="N25" s="6" t="n">
        <v>0.1328554338684926</v>
      </c>
      <c r="O25" s="6" t="n">
        <v>0.09031090299097722</v>
      </c>
      <c r="P25" s="6" t="n">
        <v>0.02924030542610412</v>
      </c>
    </row>
    <row r="26">
      <c r="A26" s="3" t="n">
        <v>25</v>
      </c>
      <c r="B26" s="8" t="n">
        <v>28</v>
      </c>
      <c r="C26" s="3" t="inlineStr">
        <is>
          <t>FSRPX</t>
        </is>
      </c>
      <c r="D26" s="3" t="inlineStr">
        <is>
          <t>Retailing</t>
        </is>
      </c>
      <c r="E26" s="3" t="inlineStr">
        <is>
          <t>Consumer Discretionary</t>
        </is>
      </c>
      <c r="F26" s="5" t="n">
        <v>17.17</v>
      </c>
      <c r="G26" s="6" t="n">
        <v>0.001166207475716829</v>
      </c>
      <c r="H26" s="6" t="n">
        <v>0.02999400106248595</v>
      </c>
      <c r="I26" s="6" t="n">
        <v>0.02937648454155717</v>
      </c>
      <c r="J26" s="6" t="n">
        <v>0.01238213462013404</v>
      </c>
      <c r="K26" s="6" t="n">
        <v>-0.01265090978010319</v>
      </c>
      <c r="L26" s="6" t="n">
        <v>0</v>
      </c>
      <c r="M26" s="6" t="n">
        <v>-0.0432175986252642</v>
      </c>
      <c r="N26" s="6" t="n">
        <v>0.0789490811039768</v>
      </c>
      <c r="O26" s="6" t="n">
        <v>0.4878298107245094</v>
      </c>
      <c r="P26" s="6" t="n">
        <v>0.1416099676632763</v>
      </c>
    </row>
    <row r="27">
      <c r="A27" s="3" t="n">
        <v>26</v>
      </c>
      <c r="B27" s="8" t="n">
        <v>25</v>
      </c>
      <c r="C27" s="3" t="inlineStr">
        <is>
          <t>FIDRX</t>
        </is>
      </c>
      <c r="D27" s="3" t="inlineStr">
        <is>
          <t>Industrials</t>
        </is>
      </c>
      <c r="E27" s="3" t="inlineStr">
        <is>
          <t>Industrials</t>
        </is>
      </c>
      <c r="F27" s="5" t="n">
        <v>67.02</v>
      </c>
      <c r="G27" s="6" t="n">
        <v>-0.002678576091520002</v>
      </c>
      <c r="H27" s="6" t="n">
        <v>-0.007846134489221335</v>
      </c>
      <c r="I27" s="6" t="n">
        <v>-0.001936036930131668</v>
      </c>
      <c r="J27" s="6" t="n">
        <v>-0.02246209116637155</v>
      </c>
      <c r="K27" s="6" t="n">
        <v>-0.08555060982585638</v>
      </c>
      <c r="L27" s="6" t="n">
        <v>-0.02317452198135184</v>
      </c>
      <c r="M27" s="6" t="n">
        <v>0.03923087088080401</v>
      </c>
      <c r="N27" s="6" t="inlineStr"/>
      <c r="O27" s="6" t="inlineStr"/>
      <c r="P27" s="6" t="inlineStr"/>
    </row>
    <row r="28">
      <c r="A28" s="3" t="n">
        <v>27</v>
      </c>
      <c r="B28" s="8" t="n">
        <v>22</v>
      </c>
      <c r="C28" s="3" t="inlineStr">
        <is>
          <t>FSLBX</t>
        </is>
      </c>
      <c r="D28" s="3" t="inlineStr">
        <is>
          <t>Brokerage &amp; Inv Mgmt</t>
        </is>
      </c>
      <c r="E28" s="3" t="inlineStr">
        <is>
          <t>Financials</t>
        </is>
      </c>
      <c r="F28" s="5" t="n">
        <v>167.88</v>
      </c>
      <c r="G28" s="6" t="n">
        <v>0.002029435420228376</v>
      </c>
      <c r="H28" s="6" t="n">
        <v>0.00980454064849634</v>
      </c>
      <c r="I28" s="6" t="n">
        <v>0.01108173735895557</v>
      </c>
      <c r="J28" s="6" t="n">
        <v>-0.05419715558978877</v>
      </c>
      <c r="K28" s="6" t="n">
        <v>-0.01790100336311062</v>
      </c>
      <c r="L28" s="6" t="n">
        <v>0.07032195314048928</v>
      </c>
      <c r="M28" s="6" t="n">
        <v>-0.1407492054288872</v>
      </c>
      <c r="N28" s="6" t="n">
        <v>-0.08392854362477964</v>
      </c>
      <c r="O28" s="6" t="n">
        <v>0.537778298344407</v>
      </c>
      <c r="P28" s="6" t="n">
        <v>0.1542447536213769</v>
      </c>
    </row>
    <row r="29">
      <c r="A29" s="3" t="n">
        <v>28</v>
      </c>
      <c r="B29" s="8" t="n">
        <v>19</v>
      </c>
      <c r="C29" s="3" t="inlineStr">
        <is>
          <t>FSCPX</t>
        </is>
      </c>
      <c r="D29" s="3" t="inlineStr">
        <is>
          <t>Consumer Discretionary</t>
        </is>
      </c>
      <c r="E29" s="3" t="inlineStr">
        <is>
          <t>Consumer Discretionary</t>
        </is>
      </c>
      <c r="F29" s="5" t="n">
        <v>62.42</v>
      </c>
      <c r="G29" s="6" t="n">
        <v>-0.005100470209762786</v>
      </c>
      <c r="H29" s="6" t="n">
        <v>0.0162813420679262</v>
      </c>
      <c r="I29" s="6" t="n">
        <v>0.03241811303593001</v>
      </c>
      <c r="J29" s="6" t="n">
        <v>-0.004148087666952294</v>
      </c>
      <c r="K29" s="6" t="n">
        <v>-0.05050197448597615</v>
      </c>
      <c r="L29" s="6" t="n">
        <v>-0.0115598311843973</v>
      </c>
      <c r="M29" s="6" t="n">
        <v>-0.1009298599017822</v>
      </c>
      <c r="N29" s="6" t="n">
        <v>0.007315289269146374</v>
      </c>
      <c r="O29" s="6" t="n">
        <v>0.4639366973490739</v>
      </c>
      <c r="P29" s="6" t="n">
        <v>0.1354659080320044</v>
      </c>
    </row>
    <row r="30">
      <c r="A30" s="3" t="n">
        <v>29</v>
      </c>
      <c r="B30" s="8" t="n">
        <v>16</v>
      </c>
      <c r="C30" s="3" t="inlineStr">
        <is>
          <t>FDLSX</t>
        </is>
      </c>
      <c r="D30" s="3" t="inlineStr">
        <is>
          <t>Leisure</t>
        </is>
      </c>
      <c r="E30" s="3" t="inlineStr">
        <is>
          <t>Consumer Discretionary</t>
        </is>
      </c>
      <c r="F30" s="5" t="n">
        <v>15.57</v>
      </c>
      <c r="G30" s="6" t="n">
        <v>-0.001923120891788144</v>
      </c>
      <c r="H30" s="6" t="n">
        <v>0.01499345110485728</v>
      </c>
      <c r="I30" s="6" t="n">
        <v>0.03249335368681772</v>
      </c>
      <c r="J30" s="6" t="n">
        <v>-0.006381645244597722</v>
      </c>
      <c r="K30" s="6" t="n">
        <v>-0.06261293662320533</v>
      </c>
      <c r="L30" s="6" t="n">
        <v>-0.006381645244597722</v>
      </c>
      <c r="M30" s="6" t="n">
        <v>-0.09382160377809856</v>
      </c>
      <c r="N30" s="6" t="n">
        <v>-0.06255168465712857</v>
      </c>
      <c r="O30" s="6" t="n">
        <v>0.3238007968754193</v>
      </c>
      <c r="P30" s="6" t="n">
        <v>0.09801316195167864</v>
      </c>
    </row>
    <row r="31">
      <c r="A31" s="3" t="n">
        <v>30</v>
      </c>
      <c r="B31" s="8" t="n">
        <v>13</v>
      </c>
      <c r="C31" s="3" t="inlineStr">
        <is>
          <t>FSAVX</t>
        </is>
      </c>
      <c r="D31" s="3" t="inlineStr">
        <is>
          <t>Automotive</t>
        </is>
      </c>
      <c r="E31" s="3" t="inlineStr">
        <is>
          <t>Consumer Discretionary</t>
        </is>
      </c>
      <c r="F31" s="5" t="n">
        <v>51.17</v>
      </c>
      <c r="G31" s="6" t="n">
        <v>-0.0104428722701233</v>
      </c>
      <c r="H31" s="6" t="n">
        <v>-0.00214509775682703</v>
      </c>
      <c r="I31" s="6" t="n">
        <v>-0.004087249801562276</v>
      </c>
      <c r="J31" s="6" t="n">
        <v>-0.05781629764218565</v>
      </c>
      <c r="K31" s="6" t="n">
        <v>-0.04640331132216513</v>
      </c>
      <c r="L31" s="6" t="n">
        <v>-0.05135336537424517</v>
      </c>
      <c r="M31" s="6" t="n">
        <v>-0.1363502648430274</v>
      </c>
      <c r="N31" s="6" t="n">
        <v>-0.04319613201501682</v>
      </c>
      <c r="O31" s="6" t="n">
        <v>0.1790152825652469</v>
      </c>
      <c r="P31" s="6" t="n">
        <v>0.05642777645241326</v>
      </c>
    </row>
    <row r="32">
      <c r="A32" s="3" t="n">
        <v>31</v>
      </c>
      <c r="B32" s="8" t="n">
        <v>10</v>
      </c>
      <c r="C32" s="3" t="inlineStr">
        <is>
          <t>FSUTX</t>
        </is>
      </c>
      <c r="D32" s="3" t="inlineStr">
        <is>
          <t>Utilities</t>
        </is>
      </c>
      <c r="E32" s="3" t="inlineStr">
        <is>
          <t>Utilities</t>
        </is>
      </c>
      <c r="F32" s="5" t="n">
        <v>124.61</v>
      </c>
      <c r="G32" s="6" t="n">
        <v>0.004676302803862553</v>
      </c>
      <c r="H32" s="6" t="n">
        <v>0.04267423966997819</v>
      </c>
      <c r="I32" s="6" t="n">
        <v>0.05664377417018129</v>
      </c>
      <c r="J32" s="6" t="n">
        <v>-0.01423940352512898</v>
      </c>
      <c r="K32" s="6" t="n">
        <v>-0.09229311102569782</v>
      </c>
      <c r="L32" s="6" t="n">
        <v>-0.1232852461684449</v>
      </c>
      <c r="M32" s="6" t="n">
        <v>-0.02960241989780366</v>
      </c>
      <c r="N32" s="6" t="n">
        <v>-0.06862280291076728</v>
      </c>
      <c r="O32" s="6" t="n">
        <v>0.5799384193923776</v>
      </c>
      <c r="P32" s="6" t="n">
        <v>0.164698152721966</v>
      </c>
    </row>
    <row r="33">
      <c r="A33" s="3" t="n">
        <v>32</v>
      </c>
      <c r="B33" s="8" t="n">
        <v>7</v>
      </c>
      <c r="C33" s="3" t="inlineStr">
        <is>
          <t>FSDAX</t>
        </is>
      </c>
      <c r="D33" s="3" t="inlineStr">
        <is>
          <t>Defense and Aerospace</t>
        </is>
      </c>
      <c r="E33" s="3" t="inlineStr">
        <is>
          <t>Industrials</t>
        </is>
      </c>
      <c r="F33" s="5" t="n">
        <v>25.06</v>
      </c>
      <c r="G33" s="6" t="n">
        <v>-0.00278550326947502</v>
      </c>
      <c r="H33" s="6" t="n">
        <v>-0.00909456074569559</v>
      </c>
      <c r="I33" s="6" t="n">
        <v>-0.01686937265739008</v>
      </c>
      <c r="J33" s="6" t="n">
        <v>-0.05860260421148589</v>
      </c>
      <c r="K33" s="6" t="n">
        <v>-0.1423682390543676</v>
      </c>
      <c r="L33" s="6" t="n">
        <v>-0.08305892660448466</v>
      </c>
      <c r="M33" s="6" t="n">
        <v>-0.1109482219210746</v>
      </c>
      <c r="N33" s="6" t="n">
        <v>0.01967973506105736</v>
      </c>
      <c r="O33" s="6" t="n">
        <v>0.9978436592923901</v>
      </c>
      <c r="P33" s="6" t="n">
        <v>0.2594680838896317</v>
      </c>
    </row>
    <row r="34">
      <c r="A34" s="3" t="n">
        <v>33</v>
      </c>
      <c r="B34" s="8" t="n">
        <v>4</v>
      </c>
      <c r="C34" s="3" t="inlineStr">
        <is>
          <t>FSHOX</t>
        </is>
      </c>
      <c r="D34" s="3" t="inlineStr">
        <is>
          <t>Construction &amp; Housing</t>
        </is>
      </c>
      <c r="E34" s="3" t="inlineStr">
        <is>
          <t>Consumer Discretionary</t>
        </is>
      </c>
      <c r="F34" s="5" t="n">
        <v>111.03</v>
      </c>
      <c r="G34" s="6" t="n">
        <v>-0.007686125793572307</v>
      </c>
      <c r="H34" s="6" t="n">
        <v>-0.003679142616000441</v>
      </c>
      <c r="I34" s="6" t="n">
        <v>-0.002246585215154639</v>
      </c>
      <c r="J34" s="6" t="n">
        <v>-0.03072897580692746</v>
      </c>
      <c r="K34" s="6" t="n">
        <v>-0.1043078444713816</v>
      </c>
      <c r="L34" s="6" t="n">
        <v>-0.09474115452114551</v>
      </c>
      <c r="M34" s="6" t="n">
        <v>-0.1071764419485581</v>
      </c>
      <c r="N34" s="6" t="n">
        <v>-0.0502782810762864</v>
      </c>
      <c r="O34" s="6" t="n">
        <v>0.3761960807380149</v>
      </c>
      <c r="P34" s="6" t="n">
        <v>0.1123123833225259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6" customWidth="1" min="3" max="3"/>
    <col width="24" customWidth="1" min="4" max="4"/>
    <col width="24" customWidth="1" min="5" max="5"/>
    <col width="11" customWidth="1" min="6" max="6"/>
    <col width="18" customWidth="1" min="7" max="7"/>
    <col width="20" customWidth="1" min="8" max="8"/>
    <col width="26" customWidth="1" min="9" max="9"/>
    <col width="24" customWidth="1" min="10" max="10"/>
    <col width="27" customWidth="1" min="11" max="11"/>
  </cols>
  <sheetData>
    <row r="1">
      <c r="A1" s="9">
        <f>== IBD RELATIVE STRENGTH LEADERS &amp; LAGGARDS ===</f>
        <v/>
      </c>
    </row>
    <row r="2">
      <c r="A2" s="10" t="inlineStr">
        <is>
          <t>Top 10 - Rank</t>
        </is>
      </c>
      <c r="B2" s="10" t="inlineStr">
        <is>
          <t>Top 10 - Ticker</t>
        </is>
      </c>
      <c r="C2" s="10" t="inlineStr">
        <is>
          <t>Top 10 - Fund Name</t>
        </is>
      </c>
      <c r="D2" s="10" t="inlineStr">
        <is>
          <t>Top 10 - Sector</t>
        </is>
      </c>
      <c r="E2" s="10" t="inlineStr">
        <is>
          <t>Top 10 - IBD_RS_Rating</t>
        </is>
      </c>
      <c r="F2" t="inlineStr"/>
      <c r="G2" s="10" t="inlineStr">
        <is>
          <t>Bottom 10 - Rank</t>
        </is>
      </c>
      <c r="H2" s="10" t="inlineStr">
        <is>
          <t>Bottom 10 - Ticker</t>
        </is>
      </c>
      <c r="I2" s="10" t="inlineStr">
        <is>
          <t>Bottom 10 - Fund Name</t>
        </is>
      </c>
      <c r="J2" s="10" t="inlineStr">
        <is>
          <t>Bottom 10 - Sector</t>
        </is>
      </c>
      <c r="K2" s="10" t="inlineStr">
        <is>
          <t>Bottom 10 - IBD_RS_Rating</t>
        </is>
      </c>
    </row>
    <row r="3">
      <c r="A3" t="n">
        <v>1</v>
      </c>
      <c r="B3" t="inlineStr">
        <is>
          <t>FDCPX</t>
        </is>
      </c>
      <c r="C3" t="inlineStr">
        <is>
          <t>Tech Hardware</t>
        </is>
      </c>
      <c r="D3" t="inlineStr">
        <is>
          <t>Information Technology</t>
        </is>
      </c>
      <c r="E3" t="n">
        <v>99</v>
      </c>
      <c r="F3" t="inlineStr"/>
      <c r="G3" t="n">
        <v>24</v>
      </c>
      <c r="H3" t="inlineStr">
        <is>
          <t>FSHOX</t>
        </is>
      </c>
      <c r="I3" t="inlineStr">
        <is>
          <t>Construction &amp; Housing</t>
        </is>
      </c>
      <c r="J3" t="inlineStr">
        <is>
          <t>Consumer Discretionary</t>
        </is>
      </c>
      <c r="K3" t="n">
        <v>4</v>
      </c>
    </row>
    <row r="4">
      <c r="A4" t="n">
        <v>2</v>
      </c>
      <c r="B4" t="inlineStr">
        <is>
          <t>FSENX</t>
        </is>
      </c>
      <c r="C4" t="inlineStr">
        <is>
          <t>Energy</t>
        </is>
      </c>
      <c r="D4" t="inlineStr">
        <is>
          <t>Energy</t>
        </is>
      </c>
      <c r="E4" t="n">
        <v>96</v>
      </c>
      <c r="F4" t="inlineStr"/>
      <c r="G4" t="n">
        <v>25</v>
      </c>
      <c r="H4" t="inlineStr">
        <is>
          <t>FSDAX</t>
        </is>
      </c>
      <c r="I4" t="inlineStr">
        <is>
          <t>Defense and Aerospace</t>
        </is>
      </c>
      <c r="J4" t="inlineStr">
        <is>
          <t>Industrials</t>
        </is>
      </c>
      <c r="K4" t="n">
        <v>7</v>
      </c>
    </row>
    <row r="5">
      <c r="A5" t="n">
        <v>3</v>
      </c>
      <c r="B5" t="inlineStr">
        <is>
          <t>FSPTX</t>
        </is>
      </c>
      <c r="C5" t="inlineStr">
        <is>
          <t>Technology</t>
        </is>
      </c>
      <c r="D5" t="inlineStr">
        <is>
          <t>Information Technology</t>
        </is>
      </c>
      <c r="E5" t="n">
        <v>93</v>
      </c>
      <c r="F5" t="inlineStr"/>
      <c r="G5" t="n">
        <v>26</v>
      </c>
      <c r="H5" t="inlineStr">
        <is>
          <t>FSUTX</t>
        </is>
      </c>
      <c r="I5" t="inlineStr">
        <is>
          <t>Utilities</t>
        </is>
      </c>
      <c r="J5" t="inlineStr">
        <is>
          <t>Utilities</t>
        </is>
      </c>
      <c r="K5" t="n">
        <v>10</v>
      </c>
    </row>
    <row r="6">
      <c r="A6" t="n">
        <v>4</v>
      </c>
      <c r="B6" t="inlineStr">
        <is>
          <t>FSCSX</t>
        </is>
      </c>
      <c r="C6" t="inlineStr">
        <is>
          <t>Software &amp; IT Services</t>
        </is>
      </c>
      <c r="D6" t="inlineStr">
        <is>
          <t>Information Technology</t>
        </is>
      </c>
      <c r="E6" t="n">
        <v>90</v>
      </c>
      <c r="F6" t="inlineStr"/>
      <c r="G6" t="n">
        <v>27</v>
      </c>
      <c r="H6" t="inlineStr">
        <is>
          <t>FSAVX</t>
        </is>
      </c>
      <c r="I6" t="inlineStr">
        <is>
          <t>Automotive</t>
        </is>
      </c>
      <c r="J6" t="inlineStr">
        <is>
          <t>Consumer Discretionary</t>
        </is>
      </c>
      <c r="K6" t="n">
        <v>13</v>
      </c>
    </row>
    <row r="7">
      <c r="A7" t="n">
        <v>5</v>
      </c>
      <c r="B7" t="inlineStr">
        <is>
          <t>FSELX</t>
        </is>
      </c>
      <c r="C7" t="inlineStr">
        <is>
          <t>Semiconductors</t>
        </is>
      </c>
      <c r="D7" t="inlineStr">
        <is>
          <t>Information Technology</t>
        </is>
      </c>
      <c r="E7" t="n">
        <v>87</v>
      </c>
      <c r="F7" t="inlineStr"/>
      <c r="G7" t="n">
        <v>28</v>
      </c>
      <c r="H7" t="inlineStr">
        <is>
          <t>FDLSX</t>
        </is>
      </c>
      <c r="I7" t="inlineStr">
        <is>
          <t>Leisure</t>
        </is>
      </c>
      <c r="J7" t="inlineStr">
        <is>
          <t>Consumer Discretionary</t>
        </is>
      </c>
      <c r="K7" t="n">
        <v>16</v>
      </c>
    </row>
    <row r="8">
      <c r="A8" t="n">
        <v>6</v>
      </c>
      <c r="B8" t="inlineStr">
        <is>
          <t>FBSOX</t>
        </is>
      </c>
      <c r="C8" t="inlineStr">
        <is>
          <t>Enterprise Tech Services</t>
        </is>
      </c>
      <c r="D8" t="inlineStr">
        <is>
          <t>Information Technology</t>
        </is>
      </c>
      <c r="E8" t="n">
        <v>84</v>
      </c>
      <c r="F8" t="inlineStr"/>
      <c r="G8" t="n">
        <v>29</v>
      </c>
      <c r="H8" t="inlineStr">
        <is>
          <t>FSCPX</t>
        </is>
      </c>
      <c r="I8" t="inlineStr">
        <is>
          <t>Consumer Discretionary</t>
        </is>
      </c>
      <c r="J8" t="inlineStr">
        <is>
          <t>Consumer Discretionary</t>
        </is>
      </c>
      <c r="K8" t="n">
        <v>19</v>
      </c>
    </row>
    <row r="9">
      <c r="A9" t="n">
        <v>7</v>
      </c>
      <c r="B9" t="inlineStr">
        <is>
          <t>FSMEX</t>
        </is>
      </c>
      <c r="C9" t="inlineStr">
        <is>
          <t>Medical Tech &amp; Devices</t>
        </is>
      </c>
      <c r="D9" t="inlineStr">
        <is>
          <t>Health Care</t>
        </is>
      </c>
      <c r="E9" t="n">
        <v>81</v>
      </c>
      <c r="F9" t="inlineStr"/>
      <c r="G9" t="n">
        <v>30</v>
      </c>
      <c r="H9" t="inlineStr">
        <is>
          <t>FSLBX</t>
        </is>
      </c>
      <c r="I9" t="inlineStr">
        <is>
          <t>Brokerage &amp; Inv Mgmt</t>
        </is>
      </c>
      <c r="J9" t="inlineStr">
        <is>
          <t>Financials</t>
        </is>
      </c>
      <c r="K9" t="n">
        <v>22</v>
      </c>
    </row>
    <row r="10">
      <c r="A10" t="n">
        <v>8</v>
      </c>
      <c r="B10" t="inlineStr">
        <is>
          <t>FSPHX</t>
        </is>
      </c>
      <c r="C10" t="inlineStr">
        <is>
          <t>Health Care</t>
        </is>
      </c>
      <c r="D10" t="inlineStr">
        <is>
          <t>Health Care</t>
        </is>
      </c>
      <c r="E10" t="n">
        <v>78</v>
      </c>
      <c r="F10" t="inlineStr"/>
      <c r="G10" t="n">
        <v>31</v>
      </c>
      <c r="H10" t="inlineStr">
        <is>
          <t>FIDRX</t>
        </is>
      </c>
      <c r="I10" t="inlineStr">
        <is>
          <t>Industrials</t>
        </is>
      </c>
      <c r="J10" t="inlineStr">
        <is>
          <t>Industrials</t>
        </is>
      </c>
      <c r="K10" t="n">
        <v>25</v>
      </c>
    </row>
    <row r="11">
      <c r="A11" t="n">
        <v>9</v>
      </c>
      <c r="B11" t="inlineStr">
        <is>
          <t>FWRLX</t>
        </is>
      </c>
      <c r="C11" t="inlineStr">
        <is>
          <t>Wireless</t>
        </is>
      </c>
      <c r="D11" t="inlineStr">
        <is>
          <t>Communication Services</t>
        </is>
      </c>
      <c r="E11" t="n">
        <v>75</v>
      </c>
      <c r="F11" t="inlineStr"/>
      <c r="G11" t="n">
        <v>32</v>
      </c>
      <c r="H11" t="inlineStr">
        <is>
          <t>FSRPX</t>
        </is>
      </c>
      <c r="I11" t="inlineStr">
        <is>
          <t>Retailing</t>
        </is>
      </c>
      <c r="J11" t="inlineStr">
        <is>
          <t>Consumer Discretionary</t>
        </is>
      </c>
      <c r="K11" t="n">
        <v>28</v>
      </c>
    </row>
    <row r="12">
      <c r="A12" t="n">
        <v>10</v>
      </c>
      <c r="B12" t="inlineStr">
        <is>
          <t>FBIOX</t>
        </is>
      </c>
      <c r="C12" t="inlineStr">
        <is>
          <t>Biotechnology</t>
        </is>
      </c>
      <c r="D12" t="inlineStr">
        <is>
          <t>Health Care</t>
        </is>
      </c>
      <c r="E12" t="n">
        <v>72</v>
      </c>
      <c r="F12" t="inlineStr"/>
      <c r="G12" t="n">
        <v>33</v>
      </c>
      <c r="H12" t="inlineStr">
        <is>
          <t>FSCHX</t>
        </is>
      </c>
      <c r="I12" t="inlineStr">
        <is>
          <t>Chemicals</t>
        </is>
      </c>
      <c r="J12" t="inlineStr">
        <is>
          <t>Materials</t>
        </is>
      </c>
      <c r="K12" t="n">
        <v>31</v>
      </c>
    </row>
    <row r="13"/>
    <row r="14"/>
    <row r="15">
      <c r="A15" s="9">
        <f>== PAST 1 MONTH LEADERS &amp; LAGGARDS ===</f>
        <v/>
      </c>
    </row>
    <row r="16">
      <c r="A16" s="10" t="inlineStr">
        <is>
          <t>Top 10 - Rank</t>
        </is>
      </c>
      <c r="B16" s="10" t="inlineStr">
        <is>
          <t>Top 10 - Ticker</t>
        </is>
      </c>
      <c r="C16" s="10" t="inlineStr">
        <is>
          <t>Top 10 - Fund Name</t>
        </is>
      </c>
      <c r="D16" s="10" t="inlineStr">
        <is>
          <t>Top 10 - Sector</t>
        </is>
      </c>
      <c r="E16" s="10" t="inlineStr">
        <is>
          <t>Top 10 - 1M</t>
        </is>
      </c>
      <c r="F16" t="inlineStr"/>
      <c r="G16" s="10" t="inlineStr">
        <is>
          <t>Bottom 10 - Rank</t>
        </is>
      </c>
      <c r="H16" s="10" t="inlineStr">
        <is>
          <t>Bottom 10 - Ticker</t>
        </is>
      </c>
      <c r="I16" s="10" t="inlineStr">
        <is>
          <t>Bottom 10 - Fund Name</t>
        </is>
      </c>
      <c r="J16" s="10" t="inlineStr">
        <is>
          <t>Bottom 10 - Sector</t>
        </is>
      </c>
      <c r="K16" s="10" t="inlineStr">
        <is>
          <t>Bottom 10 - 1M</t>
        </is>
      </c>
    </row>
    <row r="17">
      <c r="A17" t="n">
        <v>1</v>
      </c>
      <c r="B17" t="inlineStr">
        <is>
          <t>FSCSX</t>
        </is>
      </c>
      <c r="C17" t="inlineStr">
        <is>
          <t>Software &amp; IT Services</t>
        </is>
      </c>
      <c r="D17" t="inlineStr">
        <is>
          <t>Information Technology</t>
        </is>
      </c>
      <c r="E17" s="11" t="n">
        <v>0.1145564136981807</v>
      </c>
      <c r="F17" t="inlineStr"/>
      <c r="G17" t="n">
        <v>24</v>
      </c>
      <c r="H17" t="inlineStr">
        <is>
          <t>FSTCX</t>
        </is>
      </c>
      <c r="I17" t="inlineStr">
        <is>
          <t>Telecommunications</t>
        </is>
      </c>
      <c r="J17" t="inlineStr">
        <is>
          <t>Communication Services</t>
        </is>
      </c>
      <c r="K17" s="11" t="n">
        <v>-0.1047954886497963</v>
      </c>
    </row>
    <row r="18">
      <c r="A18" t="n">
        <v>2</v>
      </c>
      <c r="B18" t="inlineStr">
        <is>
          <t>FSMEX</t>
        </is>
      </c>
      <c r="C18" t="inlineStr">
        <is>
          <t>Medical Tech &amp; Devices</t>
        </is>
      </c>
      <c r="D18" t="inlineStr">
        <is>
          <t>Health Care</t>
        </is>
      </c>
      <c r="E18" s="11" t="n">
        <v>0.08826965717526569</v>
      </c>
      <c r="F18" t="inlineStr"/>
      <c r="G18" t="n">
        <v>25</v>
      </c>
      <c r="H18" t="inlineStr">
        <is>
          <t>FSAGX</t>
        </is>
      </c>
      <c r="I18" t="inlineStr">
        <is>
          <t>Gold</t>
        </is>
      </c>
      <c r="J18" t="inlineStr">
        <is>
          <t>Materials</t>
        </is>
      </c>
      <c r="K18" s="11" t="n">
        <v>-0.08241917631264095</v>
      </c>
    </row>
    <row r="19">
      <c r="A19" t="n">
        <v>3</v>
      </c>
      <c r="B19" t="inlineStr">
        <is>
          <t>FBSOX</t>
        </is>
      </c>
      <c r="C19" t="inlineStr">
        <is>
          <t>Enterprise Tech Services</t>
        </is>
      </c>
      <c r="D19" t="inlineStr">
        <is>
          <t>Information Technology</t>
        </is>
      </c>
      <c r="E19" s="11" t="n">
        <v>0.0549944063949912</v>
      </c>
      <c r="F19" t="inlineStr"/>
      <c r="G19" t="n">
        <v>26</v>
      </c>
      <c r="H19" t="inlineStr">
        <is>
          <t>FSRBX</t>
        </is>
      </c>
      <c r="I19" t="inlineStr">
        <is>
          <t>Banking</t>
        </is>
      </c>
      <c r="J19" t="inlineStr">
        <is>
          <t>Financials</t>
        </is>
      </c>
      <c r="K19" s="11" t="n">
        <v>-0.06474445928993233</v>
      </c>
    </row>
    <row r="20">
      <c r="A20" t="n">
        <v>4</v>
      </c>
      <c r="B20" t="inlineStr">
        <is>
          <t>FSPTX</t>
        </is>
      </c>
      <c r="C20" t="inlineStr">
        <is>
          <t>Technology</t>
        </is>
      </c>
      <c r="D20" t="inlineStr">
        <is>
          <t>Information Technology</t>
        </is>
      </c>
      <c r="E20" s="11" t="n">
        <v>0.05213608193173935</v>
      </c>
      <c r="F20" t="inlineStr"/>
      <c r="G20" t="n">
        <v>27</v>
      </c>
      <c r="H20" t="inlineStr">
        <is>
          <t>FSDAX</t>
        </is>
      </c>
      <c r="I20" t="inlineStr">
        <is>
          <t>Defense and Aerospace</t>
        </is>
      </c>
      <c r="J20" t="inlineStr">
        <is>
          <t>Industrials</t>
        </is>
      </c>
      <c r="K20" s="11" t="n">
        <v>-0.05860260421148589</v>
      </c>
    </row>
    <row r="21">
      <c r="A21" t="n">
        <v>5</v>
      </c>
      <c r="B21" t="inlineStr">
        <is>
          <t>FSELX</t>
        </is>
      </c>
      <c r="C21" t="inlineStr">
        <is>
          <t>Semiconductors</t>
        </is>
      </c>
      <c r="D21" t="inlineStr">
        <is>
          <t>Information Technology</t>
        </is>
      </c>
      <c r="E21" s="11" t="n">
        <v>0.03070101685387239</v>
      </c>
      <c r="F21" t="inlineStr"/>
      <c r="G21" t="n">
        <v>28</v>
      </c>
      <c r="H21" t="inlineStr">
        <is>
          <t>FSAVX</t>
        </is>
      </c>
      <c r="I21" t="inlineStr">
        <is>
          <t>Automotive</t>
        </is>
      </c>
      <c r="J21" t="inlineStr">
        <is>
          <t>Consumer Discretionary</t>
        </is>
      </c>
      <c r="K21" s="11" t="n">
        <v>-0.05781629764218565</v>
      </c>
    </row>
    <row r="22">
      <c r="A22" t="n">
        <v>6</v>
      </c>
      <c r="B22" t="inlineStr">
        <is>
          <t>FSVLX</t>
        </is>
      </c>
      <c r="C22" t="inlineStr">
        <is>
          <t>FinTech</t>
        </is>
      </c>
      <c r="D22" t="inlineStr">
        <is>
          <t>Financials</t>
        </is>
      </c>
      <c r="E22" s="11" t="n">
        <v>0.03030304404003425</v>
      </c>
      <c r="F22" t="inlineStr"/>
      <c r="G22" t="n">
        <v>29</v>
      </c>
      <c r="H22" t="inlineStr">
        <is>
          <t>FSLBX</t>
        </is>
      </c>
      <c r="I22" t="inlineStr">
        <is>
          <t>Brokerage &amp; Inv Mgmt</t>
        </is>
      </c>
      <c r="J22" t="inlineStr">
        <is>
          <t>Financials</t>
        </is>
      </c>
      <c r="K22" s="11" t="n">
        <v>-0.05419715558978877</v>
      </c>
    </row>
    <row r="23">
      <c r="A23" t="n">
        <v>7</v>
      </c>
      <c r="B23" t="inlineStr">
        <is>
          <t>FDFAX</t>
        </is>
      </c>
      <c r="C23" t="inlineStr">
        <is>
          <t>Consumer Staples</t>
        </is>
      </c>
      <c r="D23" t="inlineStr">
        <is>
          <t>Consumer Staples</t>
        </is>
      </c>
      <c r="E23" s="11" t="n">
        <v>0.02030673165084496</v>
      </c>
      <c r="F23" t="inlineStr"/>
      <c r="G23" t="n">
        <v>30</v>
      </c>
      <c r="H23" t="inlineStr">
        <is>
          <t>FIDSX</t>
        </is>
      </c>
      <c r="I23" t="inlineStr">
        <is>
          <t>Financials</t>
        </is>
      </c>
      <c r="J23" t="inlineStr">
        <is>
          <t>Financials</t>
        </is>
      </c>
      <c r="K23" s="11" t="n">
        <v>-0.05148739371277644</v>
      </c>
    </row>
    <row r="24">
      <c r="A24" t="n">
        <v>8</v>
      </c>
      <c r="B24" t="inlineStr">
        <is>
          <t>FSRPX</t>
        </is>
      </c>
      <c r="C24" t="inlineStr">
        <is>
          <t>Retailing</t>
        </is>
      </c>
      <c r="D24" t="inlineStr">
        <is>
          <t>Consumer Discretionary</t>
        </is>
      </c>
      <c r="E24" s="11" t="n">
        <v>0.01238213462013404</v>
      </c>
      <c r="F24" t="inlineStr"/>
      <c r="G24" t="n">
        <v>31</v>
      </c>
      <c r="H24" t="inlineStr">
        <is>
          <t>FBIOX</t>
        </is>
      </c>
      <c r="I24" t="inlineStr">
        <is>
          <t>Biotechnology</t>
        </is>
      </c>
      <c r="J24" t="inlineStr">
        <is>
          <t>Health Care</t>
        </is>
      </c>
      <c r="K24" s="11" t="n">
        <v>-0.04461857445701634</v>
      </c>
    </row>
    <row r="25">
      <c r="A25" t="n">
        <v>9</v>
      </c>
      <c r="B25" t="inlineStr">
        <is>
          <t>FSLEX</t>
        </is>
      </c>
      <c r="C25" t="inlineStr">
        <is>
          <t>Environment &amp; Alt Energy</t>
        </is>
      </c>
      <c r="D25" t="inlineStr">
        <is>
          <t>Energy</t>
        </is>
      </c>
      <c r="E25" s="11" t="n">
        <v>0.00640158750608566</v>
      </c>
      <c r="F25" t="inlineStr"/>
      <c r="G25" t="n">
        <v>32</v>
      </c>
      <c r="H25" t="inlineStr">
        <is>
          <t>FSDPX</t>
        </is>
      </c>
      <c r="I25" t="inlineStr">
        <is>
          <t>Materials</t>
        </is>
      </c>
      <c r="J25" t="inlineStr">
        <is>
          <t>Materials</t>
        </is>
      </c>
      <c r="K25" s="11" t="n">
        <v>-0.03244751763334008</v>
      </c>
    </row>
    <row r="26">
      <c r="A26" t="n">
        <v>10</v>
      </c>
      <c r="B26" t="inlineStr">
        <is>
          <t>FSPHX</t>
        </is>
      </c>
      <c r="C26" t="inlineStr">
        <is>
          <t>Health Care</t>
        </is>
      </c>
      <c r="D26" t="inlineStr">
        <is>
          <t>Health Care</t>
        </is>
      </c>
      <c r="E26" s="11" t="n">
        <v>0.006224076926034661</v>
      </c>
      <c r="F26" t="inlineStr"/>
      <c r="G26" t="n">
        <v>33</v>
      </c>
      <c r="H26" t="inlineStr">
        <is>
          <t>FSHOX</t>
        </is>
      </c>
      <c r="I26" t="inlineStr">
        <is>
          <t>Construction &amp; Housing</t>
        </is>
      </c>
      <c r="J26" t="inlineStr">
        <is>
          <t>Consumer Discretionary</t>
        </is>
      </c>
      <c r="K26" s="11" t="n">
        <v>-0.03072897580692746</v>
      </c>
    </row>
    <row r="27"/>
    <row r="28"/>
    <row r="29">
      <c r="A29" s="9">
        <f>== PAST 3 MONTHS LEADERS &amp; LAGGARDS ===</f>
        <v/>
      </c>
    </row>
    <row r="30">
      <c r="A30" s="10" t="inlineStr">
        <is>
          <t>Top 10 - Rank</t>
        </is>
      </c>
      <c r="B30" s="10" t="inlineStr">
        <is>
          <t>Top 10 - Ticker</t>
        </is>
      </c>
      <c r="C30" s="10" t="inlineStr">
        <is>
          <t>Top 10 - Fund Name</t>
        </is>
      </c>
      <c r="D30" s="10" t="inlineStr">
        <is>
          <t>Top 10 - Sector</t>
        </is>
      </c>
      <c r="E30" s="10" t="inlineStr">
        <is>
          <t>Top 10 - 3M</t>
        </is>
      </c>
      <c r="F30" t="inlineStr"/>
      <c r="G30" s="10" t="inlineStr">
        <is>
          <t>Bottom 10 - Rank</t>
        </is>
      </c>
      <c r="H30" s="10" t="inlineStr">
        <is>
          <t>Bottom 10 - Ticker</t>
        </is>
      </c>
      <c r="I30" s="10" t="inlineStr">
        <is>
          <t>Bottom 10 - Fund Name</t>
        </is>
      </c>
      <c r="J30" s="10" t="inlineStr">
        <is>
          <t>Bottom 10 - Sector</t>
        </is>
      </c>
      <c r="K30" s="10" t="inlineStr">
        <is>
          <t>Bottom 10 - 3M</t>
        </is>
      </c>
    </row>
    <row r="31">
      <c r="A31" t="n">
        <v>1</v>
      </c>
      <c r="B31" t="inlineStr">
        <is>
          <t>FSCSX</t>
        </is>
      </c>
      <c r="C31" t="inlineStr">
        <is>
          <t>Software &amp; IT Services</t>
        </is>
      </c>
      <c r="D31" t="inlineStr">
        <is>
          <t>Information Technology</t>
        </is>
      </c>
      <c r="E31" s="11" t="n">
        <v>0.2667645019178049</v>
      </c>
      <c r="F31" t="inlineStr"/>
      <c r="G31" t="n">
        <v>24</v>
      </c>
      <c r="H31" t="inlineStr">
        <is>
          <t>FSDAX</t>
        </is>
      </c>
      <c r="I31" t="inlineStr">
        <is>
          <t>Defense and Aerospace</t>
        </is>
      </c>
      <c r="J31" t="inlineStr">
        <is>
          <t>Industrials</t>
        </is>
      </c>
      <c r="K31" s="11" t="n">
        <v>-0.1423682390543676</v>
      </c>
    </row>
    <row r="32">
      <c r="A32" t="n">
        <v>2</v>
      </c>
      <c r="B32" t="inlineStr">
        <is>
          <t>FSAGX</t>
        </is>
      </c>
      <c r="C32" t="inlineStr">
        <is>
          <t>Gold</t>
        </is>
      </c>
      <c r="D32" t="inlineStr">
        <is>
          <t>Materials</t>
        </is>
      </c>
      <c r="E32" s="11" t="n">
        <v>0.1919892386310931</v>
      </c>
      <c r="F32" t="inlineStr"/>
      <c r="G32" t="n">
        <v>25</v>
      </c>
      <c r="H32" t="inlineStr">
        <is>
          <t>FSHOX</t>
        </is>
      </c>
      <c r="I32" t="inlineStr">
        <is>
          <t>Construction &amp; Housing</t>
        </is>
      </c>
      <c r="J32" t="inlineStr">
        <is>
          <t>Consumer Discretionary</t>
        </is>
      </c>
      <c r="K32" s="11" t="n">
        <v>-0.1043078444713816</v>
      </c>
    </row>
    <row r="33">
      <c r="A33" t="n">
        <v>3</v>
      </c>
      <c r="B33" t="inlineStr">
        <is>
          <t>FSENX</t>
        </is>
      </c>
      <c r="C33" t="inlineStr">
        <is>
          <t>Energy</t>
        </is>
      </c>
      <c r="D33" t="inlineStr">
        <is>
          <t>Energy</t>
        </is>
      </c>
      <c r="E33" s="11" t="n">
        <v>0.1767499923706055</v>
      </c>
      <c r="F33" t="inlineStr"/>
      <c r="G33" t="n">
        <v>26</v>
      </c>
      <c r="H33" t="inlineStr">
        <is>
          <t>FSUTX</t>
        </is>
      </c>
      <c r="I33" t="inlineStr">
        <is>
          <t>Utilities</t>
        </is>
      </c>
      <c r="J33" t="inlineStr">
        <is>
          <t>Utilities</t>
        </is>
      </c>
      <c r="K33" s="11" t="n">
        <v>-0.09229311102569782</v>
      </c>
    </row>
    <row r="34">
      <c r="A34" t="n">
        <v>4</v>
      </c>
      <c r="B34" t="inlineStr">
        <is>
          <t>FSMEX</t>
        </is>
      </c>
      <c r="C34" t="inlineStr">
        <is>
          <t>Medical Tech &amp; Devices</t>
        </is>
      </c>
      <c r="D34" t="inlineStr">
        <is>
          <t>Health Care</t>
        </is>
      </c>
      <c r="E34" s="11" t="n">
        <v>0.1611226662339642</v>
      </c>
      <c r="F34" t="inlineStr"/>
      <c r="G34" t="n">
        <v>27</v>
      </c>
      <c r="H34" t="inlineStr">
        <is>
          <t>FSRFX</t>
        </is>
      </c>
      <c r="I34" t="inlineStr">
        <is>
          <t>Transportation</t>
        </is>
      </c>
      <c r="J34" t="inlineStr">
        <is>
          <t>Industrials</t>
        </is>
      </c>
      <c r="K34" s="11" t="n">
        <v>-0.09214743364413747</v>
      </c>
    </row>
    <row r="35">
      <c r="A35" t="n">
        <v>5</v>
      </c>
      <c r="B35" t="inlineStr">
        <is>
          <t>FBSOX</t>
        </is>
      </c>
      <c r="C35" t="inlineStr">
        <is>
          <t>Enterprise Tech Services</t>
        </is>
      </c>
      <c r="D35" t="inlineStr">
        <is>
          <t>Information Technology</t>
        </is>
      </c>
      <c r="E35" s="11" t="n">
        <v>0.1273687106789476</v>
      </c>
      <c r="F35" t="inlineStr"/>
      <c r="G35" t="n">
        <v>28</v>
      </c>
      <c r="H35" t="inlineStr">
        <is>
          <t>FIDRX</t>
        </is>
      </c>
      <c r="I35" t="inlineStr">
        <is>
          <t>Industrials</t>
        </is>
      </c>
      <c r="J35" t="inlineStr">
        <is>
          <t>Industrials</t>
        </is>
      </c>
      <c r="K35" s="11" t="n">
        <v>-0.08555060982585638</v>
      </c>
    </row>
    <row r="36">
      <c r="A36" t="n">
        <v>6</v>
      </c>
      <c r="B36" t="inlineStr">
        <is>
          <t>FSVLX</t>
        </is>
      </c>
      <c r="C36" t="inlineStr">
        <is>
          <t>FinTech</t>
        </is>
      </c>
      <c r="D36" t="inlineStr">
        <is>
          <t>Financials</t>
        </is>
      </c>
      <c r="E36" s="11" t="n">
        <v>0.04963678402556315</v>
      </c>
      <c r="F36" t="inlineStr"/>
      <c r="G36" t="n">
        <v>29</v>
      </c>
      <c r="H36" t="inlineStr">
        <is>
          <t>FSRBX</t>
        </is>
      </c>
      <c r="I36" t="inlineStr">
        <is>
          <t>Banking</t>
        </is>
      </c>
      <c r="J36" t="inlineStr">
        <is>
          <t>Financials</t>
        </is>
      </c>
      <c r="K36" s="11" t="n">
        <v>-0.06792054746687348</v>
      </c>
    </row>
    <row r="37">
      <c r="A37" t="n">
        <v>7</v>
      </c>
      <c r="B37" t="inlineStr">
        <is>
          <t>FSPTX</t>
        </is>
      </c>
      <c r="C37" t="inlineStr">
        <is>
          <t>Technology</t>
        </is>
      </c>
      <c r="D37" t="inlineStr">
        <is>
          <t>Information Technology</t>
        </is>
      </c>
      <c r="E37" s="11" t="n">
        <v>0.04852965202776316</v>
      </c>
      <c r="F37" t="inlineStr"/>
      <c r="G37" t="n">
        <v>30</v>
      </c>
      <c r="H37" t="inlineStr">
        <is>
          <t>FSELX</t>
        </is>
      </c>
      <c r="I37" t="inlineStr">
        <is>
          <t>Semiconductors</t>
        </is>
      </c>
      <c r="J37" t="inlineStr">
        <is>
          <t>Information Technology</t>
        </is>
      </c>
      <c r="K37" s="11" t="n">
        <v>-0.06549570565482588</v>
      </c>
    </row>
    <row r="38">
      <c r="A38" t="n">
        <v>8</v>
      </c>
      <c r="B38" t="inlineStr">
        <is>
          <t>FSPHX</t>
        </is>
      </c>
      <c r="C38" t="inlineStr">
        <is>
          <t>Health Care</t>
        </is>
      </c>
      <c r="D38" t="inlineStr">
        <is>
          <t>Health Care</t>
        </is>
      </c>
      <c r="E38" s="11" t="n">
        <v>0.03743319689727076</v>
      </c>
      <c r="F38" t="inlineStr"/>
      <c r="G38" t="n">
        <v>31</v>
      </c>
      <c r="H38" t="inlineStr">
        <is>
          <t>FDLSX</t>
        </is>
      </c>
      <c r="I38" t="inlineStr">
        <is>
          <t>Leisure</t>
        </is>
      </c>
      <c r="J38" t="inlineStr">
        <is>
          <t>Consumer Discretionary</t>
        </is>
      </c>
      <c r="K38" s="11" t="n">
        <v>-0.06261293662320533</v>
      </c>
    </row>
    <row r="39">
      <c r="A39" t="n">
        <v>9</v>
      </c>
      <c r="B39" t="inlineStr">
        <is>
          <t>FDFAX</t>
        </is>
      </c>
      <c r="C39" t="inlineStr">
        <is>
          <t>Consumer Staples</t>
        </is>
      </c>
      <c r="D39" t="inlineStr">
        <is>
          <t>Consumer Staples</t>
        </is>
      </c>
      <c r="E39" s="11" t="n">
        <v>0.02406766340109723</v>
      </c>
      <c r="F39" t="inlineStr"/>
      <c r="G39" t="n">
        <v>32</v>
      </c>
      <c r="H39" t="inlineStr">
        <is>
          <t>FSHCX</t>
        </is>
      </c>
      <c r="I39" t="inlineStr">
        <is>
          <t>Health Care Services</t>
        </is>
      </c>
      <c r="J39" t="inlineStr">
        <is>
          <t>Health Care</t>
        </is>
      </c>
      <c r="K39" s="11" t="n">
        <v>-0.05984028949624709</v>
      </c>
    </row>
    <row r="40">
      <c r="A40" t="n">
        <v>10</v>
      </c>
      <c r="B40" t="inlineStr">
        <is>
          <t>FSRPX</t>
        </is>
      </c>
      <c r="C40" t="inlineStr">
        <is>
          <t>Retailing</t>
        </is>
      </c>
      <c r="D40" t="inlineStr">
        <is>
          <t>Consumer Discretionary</t>
        </is>
      </c>
      <c r="E40" s="11" t="n">
        <v>-0.01265090978010319</v>
      </c>
      <c r="F40" t="inlineStr"/>
      <c r="G40" t="n">
        <v>33</v>
      </c>
      <c r="H40" t="inlineStr">
        <is>
          <t>FSCHX</t>
        </is>
      </c>
      <c r="I40" t="inlineStr">
        <is>
          <t>Chemicals</t>
        </is>
      </c>
      <c r="J40" t="inlineStr">
        <is>
          <t>Materials</t>
        </is>
      </c>
      <c r="K40" s="11" t="n">
        <v>-0.05740605851532166</v>
      </c>
    </row>
    <row r="41"/>
    <row r="42"/>
    <row r="43">
      <c r="A43" s="9">
        <f>== PAST 6 MONTHS LEADERS &amp; LAGGARDS ===</f>
        <v/>
      </c>
    </row>
    <row r="44">
      <c r="A44" s="10" t="inlineStr">
        <is>
          <t>Top 10 - Rank</t>
        </is>
      </c>
      <c r="B44" s="10" t="inlineStr">
        <is>
          <t>Top 10 - Ticker</t>
        </is>
      </c>
      <c r="C44" s="10" t="inlineStr">
        <is>
          <t>Top 10 - Fund Name</t>
        </is>
      </c>
      <c r="D44" s="10" t="inlineStr">
        <is>
          <t>Top 10 - Sector</t>
        </is>
      </c>
      <c r="E44" s="10" t="inlineStr">
        <is>
          <t>Top 10 - 6M</t>
        </is>
      </c>
      <c r="F44" t="inlineStr"/>
      <c r="G44" s="10" t="inlineStr">
        <is>
          <t>Bottom 10 - Rank</t>
        </is>
      </c>
      <c r="H44" s="10" t="inlineStr">
        <is>
          <t>Bottom 10 - Ticker</t>
        </is>
      </c>
      <c r="I44" s="10" t="inlineStr">
        <is>
          <t>Bottom 10 - Fund Name</t>
        </is>
      </c>
      <c r="J44" s="10" t="inlineStr">
        <is>
          <t>Bottom 10 - Sector</t>
        </is>
      </c>
      <c r="K44" s="10" t="inlineStr">
        <is>
          <t>Bottom 10 - 6M</t>
        </is>
      </c>
    </row>
    <row r="45">
      <c r="A45" t="n">
        <v>1</v>
      </c>
      <c r="B45" t="inlineStr">
        <is>
          <t>FSCSX</t>
        </is>
      </c>
      <c r="C45" t="inlineStr">
        <is>
          <t>Software &amp; IT Services</t>
        </is>
      </c>
      <c r="D45" t="inlineStr">
        <is>
          <t>Information Technology</t>
        </is>
      </c>
      <c r="E45" s="11" t="n">
        <v>0.6114570374456729</v>
      </c>
      <c r="F45" t="inlineStr"/>
      <c r="G45" t="n">
        <v>24</v>
      </c>
      <c r="H45" t="inlineStr">
        <is>
          <t>FSUTX</t>
        </is>
      </c>
      <c r="I45" t="inlineStr">
        <is>
          <t>Utilities</t>
        </is>
      </c>
      <c r="J45" t="inlineStr">
        <is>
          <t>Utilities</t>
        </is>
      </c>
      <c r="K45" s="11" t="n">
        <v>-0.1232852461684449</v>
      </c>
    </row>
    <row r="46">
      <c r="A46" t="n">
        <v>2</v>
      </c>
      <c r="B46" t="inlineStr">
        <is>
          <t>FSPTX</t>
        </is>
      </c>
      <c r="C46" t="inlineStr">
        <is>
          <t>Technology</t>
        </is>
      </c>
      <c r="D46" t="inlineStr">
        <is>
          <t>Information Technology</t>
        </is>
      </c>
      <c r="E46" s="11" t="n">
        <v>0.4059022428002204</v>
      </c>
      <c r="F46" t="inlineStr"/>
      <c r="G46" t="n">
        <v>25</v>
      </c>
      <c r="H46" t="inlineStr">
        <is>
          <t>FSHOX</t>
        </is>
      </c>
      <c r="I46" t="inlineStr">
        <is>
          <t>Construction &amp; Housing</t>
        </is>
      </c>
      <c r="J46" t="inlineStr">
        <is>
          <t>Consumer Discretionary</t>
        </is>
      </c>
      <c r="K46" s="11" t="n">
        <v>-0.09474115452114551</v>
      </c>
    </row>
    <row r="47">
      <c r="A47" t="n">
        <v>3</v>
      </c>
      <c r="B47" t="inlineStr">
        <is>
          <t>FBSOX</t>
        </is>
      </c>
      <c r="C47" t="inlineStr">
        <is>
          <t>Enterprise Tech Services</t>
        </is>
      </c>
      <c r="D47" t="inlineStr">
        <is>
          <t>Information Technology</t>
        </is>
      </c>
      <c r="E47" s="11" t="n">
        <v>0.3787034259204034</v>
      </c>
      <c r="F47" t="inlineStr"/>
      <c r="G47" t="n">
        <v>26</v>
      </c>
      <c r="H47" t="inlineStr">
        <is>
          <t>FSAGX</t>
        </is>
      </c>
      <c r="I47" t="inlineStr">
        <is>
          <t>Gold</t>
        </is>
      </c>
      <c r="J47" t="inlineStr">
        <is>
          <t>Materials</t>
        </is>
      </c>
      <c r="K47" s="11" t="n">
        <v>-0.08553701738361252</v>
      </c>
    </row>
    <row r="48">
      <c r="A48" t="n">
        <v>4</v>
      </c>
      <c r="B48" t="inlineStr">
        <is>
          <t>FDCPX</t>
        </is>
      </c>
      <c r="C48" t="inlineStr">
        <is>
          <t>Tech Hardware</t>
        </is>
      </c>
      <c r="D48" t="inlineStr">
        <is>
          <t>Information Technology</t>
        </is>
      </c>
      <c r="E48" s="11" t="n">
        <v>0.3488745572222021</v>
      </c>
      <c r="F48" t="inlineStr"/>
      <c r="G48" t="n">
        <v>27</v>
      </c>
      <c r="H48" t="inlineStr">
        <is>
          <t>FSDAX</t>
        </is>
      </c>
      <c r="I48" t="inlineStr">
        <is>
          <t>Defense and Aerospace</t>
        </is>
      </c>
      <c r="J48" t="inlineStr">
        <is>
          <t>Industrials</t>
        </is>
      </c>
      <c r="K48" s="11" t="n">
        <v>-0.08305892660448466</v>
      </c>
    </row>
    <row r="49">
      <c r="A49" t="n">
        <v>5</v>
      </c>
      <c r="B49" t="inlineStr">
        <is>
          <t>FSMEX</t>
        </is>
      </c>
      <c r="C49" t="inlineStr">
        <is>
          <t>Medical Tech &amp; Devices</t>
        </is>
      </c>
      <c r="D49" t="inlineStr">
        <is>
          <t>Health Care</t>
        </is>
      </c>
      <c r="E49" s="11" t="n">
        <v>0.2751141426245658</v>
      </c>
      <c r="F49" t="inlineStr"/>
      <c r="G49" t="n">
        <v>28</v>
      </c>
      <c r="H49" t="inlineStr">
        <is>
          <t>FSDPX</t>
        </is>
      </c>
      <c r="I49" t="inlineStr">
        <is>
          <t>Materials</t>
        </is>
      </c>
      <c r="J49" t="inlineStr">
        <is>
          <t>Materials</t>
        </is>
      </c>
      <c r="K49" s="11" t="n">
        <v>-0.07020567912993236</v>
      </c>
    </row>
    <row r="50">
      <c r="A50" t="n">
        <v>6</v>
      </c>
      <c r="B50" t="inlineStr">
        <is>
          <t>FSELX</t>
        </is>
      </c>
      <c r="C50" t="inlineStr">
        <is>
          <t>Semiconductors</t>
        </is>
      </c>
      <c r="D50" t="inlineStr">
        <is>
          <t>Information Technology</t>
        </is>
      </c>
      <c r="E50" s="11" t="n">
        <v>0.2664918129069902</v>
      </c>
      <c r="F50" t="inlineStr"/>
      <c r="G50" t="n">
        <v>29</v>
      </c>
      <c r="H50" t="inlineStr">
        <is>
          <t>FSCHX</t>
        </is>
      </c>
      <c r="I50" t="inlineStr">
        <is>
          <t>Chemicals</t>
        </is>
      </c>
      <c r="J50" t="inlineStr">
        <is>
          <t>Materials</t>
        </is>
      </c>
      <c r="K50" s="11" t="n">
        <v>-0.0547263341002493</v>
      </c>
    </row>
    <row r="51">
      <c r="A51" t="n">
        <v>7</v>
      </c>
      <c r="B51" t="inlineStr">
        <is>
          <t>FSPHX</t>
        </is>
      </c>
      <c r="C51" t="inlineStr">
        <is>
          <t>Health Care</t>
        </is>
      </c>
      <c r="D51" t="inlineStr">
        <is>
          <t>Health Care</t>
        </is>
      </c>
      <c r="E51" s="11" t="n">
        <v>0.2109862484374307</v>
      </c>
      <c r="F51" t="inlineStr"/>
      <c r="G51" t="n">
        <v>30</v>
      </c>
      <c r="H51" t="inlineStr">
        <is>
          <t>FSAVX</t>
        </is>
      </c>
      <c r="I51" t="inlineStr">
        <is>
          <t>Automotive</t>
        </is>
      </c>
      <c r="J51" t="inlineStr">
        <is>
          <t>Consumer Discretionary</t>
        </is>
      </c>
      <c r="K51" s="11" t="n">
        <v>-0.05135336537424517</v>
      </c>
    </row>
    <row r="52">
      <c r="A52" t="n">
        <v>8</v>
      </c>
      <c r="B52" t="inlineStr">
        <is>
          <t>FSHCX</t>
        </is>
      </c>
      <c r="C52" t="inlineStr">
        <is>
          <t>Health Care Services</t>
        </is>
      </c>
      <c r="D52" t="inlineStr">
        <is>
          <t>Health Care</t>
        </is>
      </c>
      <c r="E52" s="11" t="n">
        <v>0.170526737829521</v>
      </c>
      <c r="F52" t="inlineStr"/>
      <c r="G52" t="n">
        <v>31</v>
      </c>
      <c r="H52" t="inlineStr">
        <is>
          <t>FSTCX</t>
        </is>
      </c>
      <c r="I52" t="inlineStr">
        <is>
          <t>Telecommunications</t>
        </is>
      </c>
      <c r="J52" t="inlineStr">
        <is>
          <t>Communication Services</t>
        </is>
      </c>
      <c r="K52" s="11" t="n">
        <v>-0.04221163301262143</v>
      </c>
    </row>
    <row r="53">
      <c r="A53" t="n">
        <v>9</v>
      </c>
      <c r="B53" t="inlineStr">
        <is>
          <t>FSVLX</t>
        </is>
      </c>
      <c r="C53" t="inlineStr">
        <is>
          <t>FinTech</t>
        </is>
      </c>
      <c r="D53" t="inlineStr">
        <is>
          <t>Financials</t>
        </is>
      </c>
      <c r="E53" s="11" t="n">
        <v>0.1614199462927428</v>
      </c>
      <c r="F53" t="inlineStr"/>
      <c r="G53" t="n">
        <v>32</v>
      </c>
      <c r="H53" t="inlineStr">
        <is>
          <t>FIDRX</t>
        </is>
      </c>
      <c r="I53" t="inlineStr">
        <is>
          <t>Industrials</t>
        </is>
      </c>
      <c r="J53" t="inlineStr">
        <is>
          <t>Industrials</t>
        </is>
      </c>
      <c r="K53" s="11" t="n">
        <v>-0.02317452198135184</v>
      </c>
    </row>
    <row r="54">
      <c r="A54" t="n">
        <v>10</v>
      </c>
      <c r="B54" t="inlineStr">
        <is>
          <t>FSENX</t>
        </is>
      </c>
      <c r="C54" t="inlineStr">
        <is>
          <t>Energy</t>
        </is>
      </c>
      <c r="D54" t="inlineStr">
        <is>
          <t>Energy</t>
        </is>
      </c>
      <c r="E54" s="11" t="n">
        <v>0.1573641950828952</v>
      </c>
      <c r="F54" t="inlineStr"/>
      <c r="G54" t="n">
        <v>33</v>
      </c>
      <c r="H54" t="inlineStr">
        <is>
          <t>FSCPX</t>
        </is>
      </c>
      <c r="I54" t="inlineStr">
        <is>
          <t>Consumer Discretionary</t>
        </is>
      </c>
      <c r="J54" t="inlineStr">
        <is>
          <t>Consumer Discretionary</t>
        </is>
      </c>
      <c r="K54" s="11" t="n">
        <v>-0.0115598311843973</v>
      </c>
    </row>
    <row r="55"/>
    <row r="56"/>
    <row r="57">
      <c r="A57" s="9">
        <f>== PAST 1 YEAR LEADERS &amp; LAGGARDS ===</f>
        <v/>
      </c>
    </row>
    <row r="58">
      <c r="A58" s="10" t="inlineStr">
        <is>
          <t>Top 10 - Rank</t>
        </is>
      </c>
      <c r="B58" s="10" t="inlineStr">
        <is>
          <t>Top 10 - Ticker</t>
        </is>
      </c>
      <c r="C58" s="10" t="inlineStr">
        <is>
          <t>Top 10 - Fund Name</t>
        </is>
      </c>
      <c r="D58" s="10" t="inlineStr">
        <is>
          <t>Top 10 - Sector</t>
        </is>
      </c>
      <c r="E58" s="10" t="inlineStr">
        <is>
          <t>Top 10 - 1Y</t>
        </is>
      </c>
      <c r="F58" t="inlineStr"/>
      <c r="G58" s="10" t="inlineStr">
        <is>
          <t>Bottom 10 - Rank</t>
        </is>
      </c>
      <c r="H58" s="10" t="inlineStr">
        <is>
          <t>Bottom 10 - Ticker</t>
        </is>
      </c>
      <c r="I58" s="10" t="inlineStr">
        <is>
          <t>Bottom 10 - Fund Name</t>
        </is>
      </c>
      <c r="J58" s="10" t="inlineStr">
        <is>
          <t>Bottom 10 - Sector</t>
        </is>
      </c>
      <c r="K58" s="10" t="inlineStr">
        <is>
          <t>Bottom 10 - 1Y</t>
        </is>
      </c>
    </row>
    <row r="59">
      <c r="A59" t="n">
        <v>1</v>
      </c>
      <c r="B59" t="inlineStr">
        <is>
          <t>FDCPX</t>
        </is>
      </c>
      <c r="C59" t="inlineStr">
        <is>
          <t>Tech Hardware</t>
        </is>
      </c>
      <c r="D59" t="inlineStr">
        <is>
          <t>Information Technology</t>
        </is>
      </c>
      <c r="E59" s="11" t="n">
        <v>0.8037563318976764</v>
      </c>
      <c r="F59" t="inlineStr"/>
      <c r="G59" t="n">
        <v>23</v>
      </c>
      <c r="H59" t="inlineStr">
        <is>
          <t>FSVLX</t>
        </is>
      </c>
      <c r="I59" t="inlineStr">
        <is>
          <t>FinTech</t>
        </is>
      </c>
      <c r="J59" t="inlineStr">
        <is>
          <t>Financials</t>
        </is>
      </c>
      <c r="K59" s="11" t="n">
        <v>-0.09262168504614765</v>
      </c>
    </row>
    <row r="60">
      <c r="A60" t="n">
        <v>2</v>
      </c>
      <c r="B60" t="inlineStr">
        <is>
          <t>FSELX</t>
        </is>
      </c>
      <c r="C60" t="inlineStr">
        <is>
          <t>Semiconductors</t>
        </is>
      </c>
      <c r="D60" t="inlineStr">
        <is>
          <t>Information Technology</t>
        </is>
      </c>
      <c r="E60" s="11" t="n">
        <v>0.7333000801698946</v>
      </c>
      <c r="F60" t="inlineStr"/>
      <c r="G60" t="n">
        <v>24</v>
      </c>
      <c r="H60" t="inlineStr">
        <is>
          <t>FSLBX</t>
        </is>
      </c>
      <c r="I60" t="inlineStr">
        <is>
          <t>Brokerage &amp; Inv Mgmt</t>
        </is>
      </c>
      <c r="J60" t="inlineStr">
        <is>
          <t>Financials</t>
        </is>
      </c>
      <c r="K60" s="11" t="n">
        <v>-0.08392854362477964</v>
      </c>
    </row>
    <row r="61">
      <c r="A61" t="n">
        <v>3</v>
      </c>
      <c r="B61" t="inlineStr">
        <is>
          <t>FSENX</t>
        </is>
      </c>
      <c r="C61" t="inlineStr">
        <is>
          <t>Energy</t>
        </is>
      </c>
      <c r="D61" t="inlineStr">
        <is>
          <t>Energy</t>
        </is>
      </c>
      <c r="E61" s="11" t="n">
        <v>0.6173536891538591</v>
      </c>
      <c r="F61" t="inlineStr"/>
      <c r="G61" t="n">
        <v>25</v>
      </c>
      <c r="H61" t="inlineStr">
        <is>
          <t>FSUTX</t>
        </is>
      </c>
      <c r="I61" t="inlineStr">
        <is>
          <t>Utilities</t>
        </is>
      </c>
      <c r="J61" t="inlineStr">
        <is>
          <t>Utilities</t>
        </is>
      </c>
      <c r="K61" s="11" t="n">
        <v>-0.06862280291076728</v>
      </c>
    </row>
    <row r="62">
      <c r="A62" t="n">
        <v>4</v>
      </c>
      <c r="B62" t="inlineStr">
        <is>
          <t>FSPTX</t>
        </is>
      </c>
      <c r="C62" t="inlineStr">
        <is>
          <t>Technology</t>
        </is>
      </c>
      <c r="D62" t="inlineStr">
        <is>
          <t>Information Technology</t>
        </is>
      </c>
      <c r="E62" s="11" t="n">
        <v>0.4947088057660616</v>
      </c>
      <c r="F62" t="inlineStr"/>
      <c r="G62" t="n">
        <v>26</v>
      </c>
      <c r="H62" t="inlineStr">
        <is>
          <t>FDLSX</t>
        </is>
      </c>
      <c r="I62" t="inlineStr">
        <is>
          <t>Leisure</t>
        </is>
      </c>
      <c r="J62" t="inlineStr">
        <is>
          <t>Consumer Discretionary</t>
        </is>
      </c>
      <c r="K62" s="11" t="n">
        <v>-0.06255168465712857</v>
      </c>
    </row>
    <row r="63">
      <c r="A63" t="n">
        <v>5</v>
      </c>
      <c r="B63" t="inlineStr">
        <is>
          <t>FWRLX</t>
        </is>
      </c>
      <c r="C63" t="inlineStr">
        <is>
          <t>Wireless</t>
        </is>
      </c>
      <c r="D63" t="inlineStr">
        <is>
          <t>Communication Services</t>
        </is>
      </c>
      <c r="E63" s="11" t="n">
        <v>0.2896284479316031</v>
      </c>
      <c r="F63" t="inlineStr"/>
      <c r="G63" t="n">
        <v>27</v>
      </c>
      <c r="H63" t="inlineStr">
        <is>
          <t>FSHOX</t>
        </is>
      </c>
      <c r="I63" t="inlineStr">
        <is>
          <t>Construction &amp; Housing</t>
        </is>
      </c>
      <c r="J63" t="inlineStr">
        <is>
          <t>Consumer Discretionary</t>
        </is>
      </c>
      <c r="K63" s="11" t="n">
        <v>-0.0502782810762864</v>
      </c>
    </row>
    <row r="64">
      <c r="A64" t="n">
        <v>6</v>
      </c>
      <c r="B64" t="inlineStr">
        <is>
          <t>FBIOX</t>
        </is>
      </c>
      <c r="C64" t="inlineStr">
        <is>
          <t>Biotechnology</t>
        </is>
      </c>
      <c r="D64" t="inlineStr">
        <is>
          <t>Health Care</t>
        </is>
      </c>
      <c r="E64" s="11" t="n">
        <v>0.2870473551134223</v>
      </c>
      <c r="F64" t="inlineStr"/>
      <c r="G64" t="n">
        <v>28</v>
      </c>
      <c r="H64" t="inlineStr">
        <is>
          <t>FSAVX</t>
        </is>
      </c>
      <c r="I64" t="inlineStr">
        <is>
          <t>Automotive</t>
        </is>
      </c>
      <c r="J64" t="inlineStr">
        <is>
          <t>Consumer Discretionary</t>
        </is>
      </c>
      <c r="K64" s="11" t="n">
        <v>-0.04319613201501682</v>
      </c>
    </row>
    <row r="65">
      <c r="A65" t="n">
        <v>7</v>
      </c>
      <c r="B65" t="inlineStr">
        <is>
          <t>FPHAX</t>
        </is>
      </c>
      <c r="C65" t="inlineStr">
        <is>
          <t>Pharmaceuticals</t>
        </is>
      </c>
      <c r="D65" t="inlineStr">
        <is>
          <t>Health Care</t>
        </is>
      </c>
      <c r="E65" s="11" t="n">
        <v>0.2561550739151131</v>
      </c>
      <c r="F65" t="inlineStr"/>
      <c r="G65" t="n">
        <v>29</v>
      </c>
      <c r="H65" t="inlineStr">
        <is>
          <t>FSCPX</t>
        </is>
      </c>
      <c r="I65" t="inlineStr">
        <is>
          <t>Consumer Discretionary</t>
        </is>
      </c>
      <c r="J65" t="inlineStr">
        <is>
          <t>Consumer Discretionary</t>
        </is>
      </c>
      <c r="K65" s="11" t="n">
        <v>0.007315289269146374</v>
      </c>
    </row>
    <row r="66">
      <c r="A66" t="n">
        <v>8</v>
      </c>
      <c r="B66" t="inlineStr">
        <is>
          <t>FSPHX</t>
        </is>
      </c>
      <c r="C66" t="inlineStr">
        <is>
          <t>Health Care</t>
        </is>
      </c>
      <c r="D66" t="inlineStr">
        <is>
          <t>Health Care</t>
        </is>
      </c>
      <c r="E66" s="11" t="n">
        <v>0.2479580211553065</v>
      </c>
      <c r="F66" t="inlineStr"/>
      <c r="G66" t="n">
        <v>30</v>
      </c>
      <c r="H66" t="inlineStr">
        <is>
          <t>FSDAX</t>
        </is>
      </c>
      <c r="I66" t="inlineStr">
        <is>
          <t>Defense and Aerospace</t>
        </is>
      </c>
      <c r="J66" t="inlineStr">
        <is>
          <t>Industrials</t>
        </is>
      </c>
      <c r="K66" s="11" t="n">
        <v>0.01967973506105736</v>
      </c>
    </row>
    <row r="67">
      <c r="A67" t="n">
        <v>9</v>
      </c>
      <c r="B67" t="inlineStr">
        <is>
          <t>FSAGX</t>
        </is>
      </c>
      <c r="C67" t="inlineStr">
        <is>
          <t>Gold</t>
        </is>
      </c>
      <c r="D67" t="inlineStr">
        <is>
          <t>Materials</t>
        </is>
      </c>
      <c r="E67" s="11" t="n">
        <v>0.2388405616084583</v>
      </c>
      <c r="F67" t="inlineStr"/>
      <c r="G67" t="n">
        <v>31</v>
      </c>
      <c r="H67" t="inlineStr">
        <is>
          <t>FSPCX</t>
        </is>
      </c>
      <c r="I67" t="inlineStr">
        <is>
          <t>Insurance</t>
        </is>
      </c>
      <c r="J67" t="inlineStr">
        <is>
          <t>Financials</t>
        </is>
      </c>
      <c r="K67" s="11" t="n">
        <v>0.06358429033996371</v>
      </c>
    </row>
    <row r="68">
      <c r="A68" t="n">
        <v>10</v>
      </c>
      <c r="B68" t="inlineStr">
        <is>
          <t>FSRBX</t>
        </is>
      </c>
      <c r="C68" t="inlineStr">
        <is>
          <t>Banking</t>
        </is>
      </c>
      <c r="D68" t="inlineStr">
        <is>
          <t>Financials</t>
        </is>
      </c>
      <c r="E68" s="11" t="n">
        <v>0.2042556908860524</v>
      </c>
      <c r="F68" t="inlineStr"/>
      <c r="G68" t="n">
        <v>32</v>
      </c>
      <c r="H68" t="inlineStr">
        <is>
          <t>FSRPX</t>
        </is>
      </c>
      <c r="I68" t="inlineStr">
        <is>
          <t>Retailing</t>
        </is>
      </c>
      <c r="J68" t="inlineStr">
        <is>
          <t>Consumer Discretionary</t>
        </is>
      </c>
      <c r="K68" s="11" t="n">
        <v>0.0789490811039768</v>
      </c>
    </row>
    <row r="69"/>
    <row r="70"/>
    <row r="71">
      <c r="A71" s="9">
        <f>== PAST 3 YEARS LEADERS &amp; LAGGARDS ===</f>
        <v/>
      </c>
    </row>
    <row r="72">
      <c r="A72" s="10" t="inlineStr">
        <is>
          <t>Top 10 - Rank</t>
        </is>
      </c>
      <c r="B72" s="10" t="inlineStr">
        <is>
          <t>Top 10 - Ticker</t>
        </is>
      </c>
      <c r="C72" s="10" t="inlineStr">
        <is>
          <t>Top 10 - Fund Name</t>
        </is>
      </c>
      <c r="D72" s="10" t="inlineStr">
        <is>
          <t>Top 10 - Sector</t>
        </is>
      </c>
      <c r="E72" s="10" t="inlineStr">
        <is>
          <t>Top 10 - 3Y</t>
        </is>
      </c>
      <c r="F72" t="inlineStr"/>
      <c r="G72" s="10" t="inlineStr">
        <is>
          <t>Bottom 10 - Rank</t>
        </is>
      </c>
      <c r="H72" s="10" t="inlineStr">
        <is>
          <t>Bottom 10 - Ticker</t>
        </is>
      </c>
      <c r="I72" s="10" t="inlineStr">
        <is>
          <t>Bottom 10 - Fund Name</t>
        </is>
      </c>
      <c r="J72" s="10" t="inlineStr">
        <is>
          <t>Bottom 10 - Sector</t>
        </is>
      </c>
      <c r="K72" s="10" t="inlineStr">
        <is>
          <t>Bottom 10 - 3Y</t>
        </is>
      </c>
    </row>
    <row r="73">
      <c r="A73" t="n">
        <v>1</v>
      </c>
      <c r="B73" t="inlineStr">
        <is>
          <t>FSELX</t>
        </is>
      </c>
      <c r="C73" t="inlineStr">
        <is>
          <t>Semiconductors</t>
        </is>
      </c>
      <c r="D73" t="inlineStr">
        <is>
          <t>Information Technology</t>
        </is>
      </c>
      <c r="E73" s="11" t="n">
        <v>2.604165110856536</v>
      </c>
      <c r="F73" t="inlineStr"/>
      <c r="G73" t="n">
        <v>23</v>
      </c>
      <c r="H73" t="inlineStr">
        <is>
          <t>FSHCX</t>
        </is>
      </c>
      <c r="I73" t="inlineStr">
        <is>
          <t>Health Care Services</t>
        </is>
      </c>
      <c r="J73" t="inlineStr">
        <is>
          <t>Health Care</t>
        </is>
      </c>
      <c r="K73" s="11" t="n">
        <v>0.04463037770069933</v>
      </c>
    </row>
    <row r="74">
      <c r="A74" t="n">
        <v>2</v>
      </c>
      <c r="B74" t="inlineStr">
        <is>
          <t>FSAGX</t>
        </is>
      </c>
      <c r="C74" t="inlineStr">
        <is>
          <t>Gold</t>
        </is>
      </c>
      <c r="D74" t="inlineStr">
        <is>
          <t>Materials</t>
        </is>
      </c>
      <c r="E74" s="11" t="n">
        <v>2.356112293066343</v>
      </c>
      <c r="F74" t="inlineStr"/>
      <c r="G74" t="n">
        <v>24</v>
      </c>
      <c r="H74" t="inlineStr">
        <is>
          <t>FSCHX</t>
        </is>
      </c>
      <c r="I74" t="inlineStr">
        <is>
          <t>Chemicals</t>
        </is>
      </c>
      <c r="J74" t="inlineStr">
        <is>
          <t>Materials</t>
        </is>
      </c>
      <c r="K74" s="11" t="n">
        <v>0.09031090299097722</v>
      </c>
    </row>
    <row r="75">
      <c r="A75" t="n">
        <v>3</v>
      </c>
      <c r="B75" t="inlineStr">
        <is>
          <t>FDCPX</t>
        </is>
      </c>
      <c r="C75" t="inlineStr">
        <is>
          <t>Tech Hardware</t>
        </is>
      </c>
      <c r="D75" t="inlineStr">
        <is>
          <t>Information Technology</t>
        </is>
      </c>
      <c r="E75" s="11" t="n">
        <v>2.211954069658725</v>
      </c>
      <c r="F75" t="inlineStr"/>
      <c r="G75" t="n">
        <v>25</v>
      </c>
      <c r="H75" t="inlineStr">
        <is>
          <t>FSAVX</t>
        </is>
      </c>
      <c r="I75" t="inlineStr">
        <is>
          <t>Automotive</t>
        </is>
      </c>
      <c r="J75" t="inlineStr">
        <is>
          <t>Consumer Discretionary</t>
        </is>
      </c>
      <c r="K75" s="11" t="n">
        <v>0.1790152825652469</v>
      </c>
    </row>
    <row r="76">
      <c r="A76" t="n">
        <v>4</v>
      </c>
      <c r="B76" t="inlineStr">
        <is>
          <t>FSPTX</t>
        </is>
      </c>
      <c r="C76" t="inlineStr">
        <is>
          <t>Technology</t>
        </is>
      </c>
      <c r="D76" t="inlineStr">
        <is>
          <t>Information Technology</t>
        </is>
      </c>
      <c r="E76" s="11" t="n">
        <v>1.649563527803462</v>
      </c>
      <c r="F76" t="inlineStr"/>
      <c r="G76" t="n">
        <v>26</v>
      </c>
      <c r="H76" t="inlineStr">
        <is>
          <t>FSVLX</t>
        </is>
      </c>
      <c r="I76" t="inlineStr">
        <is>
          <t>FinTech</t>
        </is>
      </c>
      <c r="J76" t="inlineStr">
        <is>
          <t>Financials</t>
        </is>
      </c>
      <c r="K76" s="11" t="n">
        <v>0.2547033672570891</v>
      </c>
    </row>
    <row r="77">
      <c r="A77" t="n">
        <v>5</v>
      </c>
      <c r="B77" t="inlineStr">
        <is>
          <t>FSRBX</t>
        </is>
      </c>
      <c r="C77" t="inlineStr">
        <is>
          <t>Banking</t>
        </is>
      </c>
      <c r="D77" t="inlineStr">
        <is>
          <t>Financials</t>
        </is>
      </c>
      <c r="E77" s="11" t="n">
        <v>1.13626287186988</v>
      </c>
      <c r="F77" t="inlineStr"/>
      <c r="G77" t="n">
        <v>27</v>
      </c>
      <c r="H77" t="inlineStr">
        <is>
          <t>FSDPX</t>
        </is>
      </c>
      <c r="I77" t="inlineStr">
        <is>
          <t>Materials</t>
        </is>
      </c>
      <c r="J77" t="inlineStr">
        <is>
          <t>Materials</t>
        </is>
      </c>
      <c r="K77" s="11" t="n">
        <v>0.2564958764401395</v>
      </c>
    </row>
    <row r="78">
      <c r="A78" t="n">
        <v>6</v>
      </c>
      <c r="B78" t="inlineStr">
        <is>
          <t>FBIOX</t>
        </is>
      </c>
      <c r="C78" t="inlineStr">
        <is>
          <t>Biotechnology</t>
        </is>
      </c>
      <c r="D78" t="inlineStr">
        <is>
          <t>Health Care</t>
        </is>
      </c>
      <c r="E78" s="11" t="n">
        <v>1.005316319510966</v>
      </c>
      <c r="F78" t="inlineStr"/>
      <c r="G78" t="n">
        <v>28</v>
      </c>
      <c r="H78" t="inlineStr">
        <is>
          <t>FDFAX</t>
        </is>
      </c>
      <c r="I78" t="inlineStr">
        <is>
          <t>Consumer Staples</t>
        </is>
      </c>
      <c r="J78" t="inlineStr">
        <is>
          <t>Consumer Staples</t>
        </is>
      </c>
      <c r="K78" s="11" t="n">
        <v>0.2935474127559801</v>
      </c>
    </row>
    <row r="79">
      <c r="A79" t="n">
        <v>7</v>
      </c>
      <c r="B79" t="inlineStr">
        <is>
          <t>FSDAX</t>
        </is>
      </c>
      <c r="C79" t="inlineStr">
        <is>
          <t>Defense and Aerospace</t>
        </is>
      </c>
      <c r="D79" t="inlineStr">
        <is>
          <t>Industrials</t>
        </is>
      </c>
      <c r="E79" s="11" t="n">
        <v>0.9978436592923901</v>
      </c>
      <c r="F79" t="inlineStr"/>
      <c r="G79" t="n">
        <v>29</v>
      </c>
      <c r="H79" t="inlineStr">
        <is>
          <t>FDLSX</t>
        </is>
      </c>
      <c r="I79" t="inlineStr">
        <is>
          <t>Leisure</t>
        </is>
      </c>
      <c r="J79" t="inlineStr">
        <is>
          <t>Consumer Discretionary</t>
        </is>
      </c>
      <c r="K79" s="11" t="n">
        <v>0.3238007968754193</v>
      </c>
    </row>
    <row r="80">
      <c r="A80" t="n">
        <v>8</v>
      </c>
      <c r="B80" t="inlineStr">
        <is>
          <t>FIDSX</t>
        </is>
      </c>
      <c r="C80" t="inlineStr">
        <is>
          <t>Financials</t>
        </is>
      </c>
      <c r="D80" t="inlineStr">
        <is>
          <t>Financials</t>
        </is>
      </c>
      <c r="E80" s="11" t="n">
        <v>0.9217788873033785</v>
      </c>
      <c r="F80" t="inlineStr"/>
      <c r="G80" t="n">
        <v>30</v>
      </c>
      <c r="H80" t="inlineStr">
        <is>
          <t>FBSOX</t>
        </is>
      </c>
      <c r="I80" t="inlineStr">
        <is>
          <t>Enterprise Tech Services</t>
        </is>
      </c>
      <c r="J80" t="inlineStr">
        <is>
          <t>Information Technology</t>
        </is>
      </c>
      <c r="K80" s="11" t="n">
        <v>0.3668407357049797</v>
      </c>
    </row>
    <row r="81">
      <c r="A81" t="n">
        <v>9</v>
      </c>
      <c r="B81" t="inlineStr">
        <is>
          <t>FWRLX</t>
        </is>
      </c>
      <c r="C81" t="inlineStr">
        <is>
          <t>Wireless</t>
        </is>
      </c>
      <c r="D81" t="inlineStr">
        <is>
          <t>Communication Services</t>
        </is>
      </c>
      <c r="E81" s="11" t="n">
        <v>0.8500822999484341</v>
      </c>
      <c r="F81" t="inlineStr"/>
      <c r="G81" t="n">
        <v>31</v>
      </c>
      <c r="H81" t="inlineStr">
        <is>
          <t>FRESX</t>
        </is>
      </c>
      <c r="I81" t="inlineStr">
        <is>
          <t>Real Estate Investment</t>
        </is>
      </c>
      <c r="J81" t="inlineStr">
        <is>
          <t>Real Estate</t>
        </is>
      </c>
      <c r="K81" s="11" t="n">
        <v>0.3673813230499625</v>
      </c>
    </row>
    <row r="82">
      <c r="A82" t="n">
        <v>10</v>
      </c>
      <c r="B82" t="inlineStr">
        <is>
          <t>FSLEX</t>
        </is>
      </c>
      <c r="C82" t="inlineStr">
        <is>
          <t>Environment &amp; Alt Energy</t>
        </is>
      </c>
      <c r="D82" t="inlineStr">
        <is>
          <t>Energy</t>
        </is>
      </c>
      <c r="E82" s="11" t="n">
        <v>0.8017741605771918</v>
      </c>
      <c r="F82" t="inlineStr"/>
      <c r="G82" t="n">
        <v>32</v>
      </c>
      <c r="H82" t="inlineStr">
        <is>
          <t>FSHOX</t>
        </is>
      </c>
      <c r="I82" t="inlineStr">
        <is>
          <t>Construction &amp; Housing</t>
        </is>
      </c>
      <c r="J82" t="inlineStr">
        <is>
          <t>Consumer Discretionary</t>
        </is>
      </c>
      <c r="K82" s="11" t="n">
        <v>0.3761960807380149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2026-10-13T05:59:55Z</dcterms:created>
  <dcterms:modified xmlns:dcterms="http://purl.org/dc/terms/" xmlns:xsi="http://www.w3.org/2001/XMLSchema-instance" xsi:type="dcterms:W3CDTF">2026-10-13T05:59:55Z</dcterms:modified>
</cp:coreProperties>
</file>